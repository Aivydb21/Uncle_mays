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thony\Desktop\um_website\steans-lawndale\"/>
    </mc:Choice>
  </mc:AlternateContent>
  <xr:revisionPtr revIDLastSave="0" documentId="13_ncr:1_{EE60D56A-F3E9-46CA-86CB-ACDA3CFC16E8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README" sheetId="1" r:id="rId1"/>
    <sheet name="Inputs" sheetId="2" r:id="rId2"/>
    <sheet name="Capital Stack" sheetId="3" r:id="rId3"/>
    <sheet name="Phase 1 Revenue" sheetId="4" r:id="rId4"/>
    <sheet name="Phase 2 Revenue" sheetId="5" r:id="rId5"/>
    <sheet name="P&amp;L Monthly Y1" sheetId="6" r:id="rId6"/>
    <sheet name="P&amp;L Annual" sheetId="7" r:id="rId7"/>
    <sheet name="Working Capital" sheetId="8" r:id="rId8"/>
    <sheet name="Debt &amp; DSCR" sheetId="9" r:id="rId9"/>
    <sheet name="Sensitivity" sheetId="10" r:id="rId10"/>
    <sheet name="Milestones" sheetId="11" r:id="rId11"/>
    <sheet name="Impac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2" l="1"/>
  <c r="E19" i="12"/>
  <c r="D19" i="12"/>
  <c r="C19" i="12"/>
  <c r="B19" i="12"/>
  <c r="F18" i="12"/>
  <c r="E18" i="12"/>
  <c r="D18" i="12"/>
  <c r="C18" i="12"/>
  <c r="B18" i="12"/>
  <c r="F10" i="12"/>
  <c r="E10" i="12"/>
  <c r="D10" i="12"/>
  <c r="C10" i="12"/>
  <c r="F5" i="12"/>
  <c r="E5" i="12"/>
  <c r="D5" i="12"/>
  <c r="C5" i="12"/>
  <c r="B5" i="12"/>
  <c r="F4" i="12"/>
  <c r="E4" i="12"/>
  <c r="D4" i="12"/>
  <c r="C4" i="12"/>
  <c r="B4" i="12"/>
  <c r="F3" i="12"/>
  <c r="F6" i="12" s="1"/>
  <c r="E3" i="12"/>
  <c r="E6" i="12" s="1"/>
  <c r="D3" i="12"/>
  <c r="D6" i="12" s="1"/>
  <c r="C3" i="12"/>
  <c r="C6" i="12" s="1"/>
  <c r="B3" i="12"/>
  <c r="B6" i="12" s="1"/>
  <c r="F4" i="9"/>
  <c r="F10" i="9" s="1"/>
  <c r="E4" i="9"/>
  <c r="E10" i="9" s="1"/>
  <c r="D4" i="9"/>
  <c r="D10" i="9" s="1"/>
  <c r="C4" i="9"/>
  <c r="C10" i="9" s="1"/>
  <c r="B4" i="9"/>
  <c r="B10" i="9" s="1"/>
  <c r="B3" i="9"/>
  <c r="B18" i="8"/>
  <c r="B16" i="8"/>
  <c r="F12" i="8"/>
  <c r="E12" i="8"/>
  <c r="D12" i="8"/>
  <c r="C12" i="8"/>
  <c r="B12" i="8"/>
  <c r="F26" i="7"/>
  <c r="E26" i="7"/>
  <c r="D26" i="7"/>
  <c r="C26" i="7"/>
  <c r="B26" i="7"/>
  <c r="F25" i="7"/>
  <c r="E25" i="7"/>
  <c r="D25" i="7"/>
  <c r="C25" i="7"/>
  <c r="B25" i="7"/>
  <c r="N16" i="7"/>
  <c r="I16" i="7"/>
  <c r="C16" i="7"/>
  <c r="F15" i="7"/>
  <c r="E15" i="7"/>
  <c r="D15" i="7"/>
  <c r="C15" i="7"/>
  <c r="P10" i="7"/>
  <c r="O10" i="7"/>
  <c r="N10" i="7"/>
  <c r="M10" i="7"/>
  <c r="K10" i="7"/>
  <c r="J10" i="7"/>
  <c r="I10" i="7"/>
  <c r="H10" i="7"/>
  <c r="F5" i="7"/>
  <c r="E5" i="7"/>
  <c r="D5" i="7"/>
  <c r="C5" i="7"/>
  <c r="M36" i="6"/>
  <c r="L36" i="6"/>
  <c r="K36" i="6"/>
  <c r="J36" i="6"/>
  <c r="I36" i="6"/>
  <c r="H36" i="6"/>
  <c r="G36" i="6"/>
  <c r="F36" i="6"/>
  <c r="E36" i="6"/>
  <c r="D36" i="6"/>
  <c r="C36" i="6"/>
  <c r="B36" i="6"/>
  <c r="N36" i="6" s="1"/>
  <c r="M35" i="6"/>
  <c r="L35" i="6"/>
  <c r="K35" i="6"/>
  <c r="J35" i="6"/>
  <c r="I35" i="6"/>
  <c r="H35" i="6"/>
  <c r="G35" i="6"/>
  <c r="F35" i="6"/>
  <c r="E35" i="6"/>
  <c r="D35" i="6"/>
  <c r="C35" i="6"/>
  <c r="B35" i="6"/>
  <c r="N35" i="6" s="1"/>
  <c r="M34" i="6"/>
  <c r="L34" i="6"/>
  <c r="K34" i="6"/>
  <c r="J34" i="6"/>
  <c r="I34" i="6"/>
  <c r="H34" i="6"/>
  <c r="G34" i="6"/>
  <c r="F34" i="6"/>
  <c r="E34" i="6"/>
  <c r="D34" i="6"/>
  <c r="C34" i="6"/>
  <c r="B34" i="6"/>
  <c r="N34" i="6" s="1"/>
  <c r="M26" i="6"/>
  <c r="L26" i="6"/>
  <c r="K26" i="6"/>
  <c r="J26" i="6"/>
  <c r="I26" i="6"/>
  <c r="H26" i="6"/>
  <c r="G26" i="6"/>
  <c r="F26" i="6"/>
  <c r="E26" i="6"/>
  <c r="D26" i="6"/>
  <c r="N26" i="6" s="1"/>
  <c r="C26" i="6"/>
  <c r="B26" i="6"/>
  <c r="M24" i="6"/>
  <c r="L24" i="6"/>
  <c r="K24" i="6"/>
  <c r="J24" i="6"/>
  <c r="I24" i="6"/>
  <c r="H24" i="6"/>
  <c r="G24" i="6"/>
  <c r="F24" i="6"/>
  <c r="E24" i="6"/>
  <c r="D24" i="6"/>
  <c r="C24" i="6"/>
  <c r="B24" i="6"/>
  <c r="N24" i="6" s="1"/>
  <c r="M23" i="6"/>
  <c r="L23" i="6"/>
  <c r="K23" i="6"/>
  <c r="J23" i="6"/>
  <c r="I23" i="6"/>
  <c r="H23" i="6"/>
  <c r="G23" i="6"/>
  <c r="F23" i="6"/>
  <c r="E23" i="6"/>
  <c r="D23" i="6"/>
  <c r="C23" i="6"/>
  <c r="B23" i="6"/>
  <c r="N23" i="6" s="1"/>
  <c r="M22" i="6"/>
  <c r="L22" i="6"/>
  <c r="K22" i="6"/>
  <c r="J22" i="6"/>
  <c r="I22" i="6"/>
  <c r="H22" i="6"/>
  <c r="G22" i="6"/>
  <c r="F22" i="6"/>
  <c r="E22" i="6"/>
  <c r="D22" i="6"/>
  <c r="C22" i="6"/>
  <c r="B22" i="6"/>
  <c r="N22" i="6" s="1"/>
  <c r="M21" i="6"/>
  <c r="L21" i="6"/>
  <c r="K21" i="6"/>
  <c r="J21" i="6"/>
  <c r="I21" i="6"/>
  <c r="H21" i="6"/>
  <c r="G21" i="6"/>
  <c r="F21" i="6"/>
  <c r="E21" i="6"/>
  <c r="D21" i="6"/>
  <c r="C21" i="6"/>
  <c r="B21" i="6"/>
  <c r="N21" i="6" s="1"/>
  <c r="M20" i="6"/>
  <c r="L20" i="6"/>
  <c r="K20" i="6"/>
  <c r="J20" i="6"/>
  <c r="I20" i="6"/>
  <c r="H20" i="6"/>
  <c r="G20" i="6"/>
  <c r="F20" i="6"/>
  <c r="E20" i="6"/>
  <c r="D20" i="6"/>
  <c r="C20" i="6"/>
  <c r="B20" i="6"/>
  <c r="N20" i="6" s="1"/>
  <c r="M19" i="6"/>
  <c r="L19" i="6"/>
  <c r="K19" i="6"/>
  <c r="J19" i="6"/>
  <c r="I19" i="6"/>
  <c r="H19" i="6"/>
  <c r="G19" i="6"/>
  <c r="F19" i="6"/>
  <c r="E19" i="6"/>
  <c r="D19" i="6"/>
  <c r="C19" i="6"/>
  <c r="B19" i="6"/>
  <c r="N19" i="6" s="1"/>
  <c r="M18" i="6"/>
  <c r="L18" i="6"/>
  <c r="K18" i="6"/>
  <c r="J18" i="6"/>
  <c r="I18" i="6"/>
  <c r="H18" i="6"/>
  <c r="G18" i="6"/>
  <c r="F18" i="6"/>
  <c r="E18" i="6"/>
  <c r="D18" i="6"/>
  <c r="C18" i="6"/>
  <c r="B18" i="6"/>
  <c r="N18" i="6" s="1"/>
  <c r="B16" i="7" s="1"/>
  <c r="N16" i="6"/>
  <c r="J16" i="6"/>
  <c r="J17" i="6" s="1"/>
  <c r="I16" i="6"/>
  <c r="I17" i="6" s="1"/>
  <c r="H16" i="6"/>
  <c r="H17" i="6" s="1"/>
  <c r="G16" i="6"/>
  <c r="G17" i="6" s="1"/>
  <c r="F16" i="6"/>
  <c r="F17" i="6" s="1"/>
  <c r="E16" i="6"/>
  <c r="E17" i="6" s="1"/>
  <c r="D16" i="6"/>
  <c r="D17" i="6" s="1"/>
  <c r="C16" i="6"/>
  <c r="C17" i="6" s="1"/>
  <c r="B16" i="6"/>
  <c r="B17" i="6" s="1"/>
  <c r="N15" i="6"/>
  <c r="N17" i="6" s="1"/>
  <c r="M15" i="6"/>
  <c r="L15" i="6"/>
  <c r="K15" i="6"/>
  <c r="J15" i="6"/>
  <c r="I15" i="6"/>
  <c r="H15" i="6"/>
  <c r="G15" i="6"/>
  <c r="F15" i="6"/>
  <c r="E15" i="6"/>
  <c r="D15" i="6"/>
  <c r="C15" i="6"/>
  <c r="B15" i="6"/>
  <c r="B13" i="5"/>
  <c r="M12" i="5"/>
  <c r="M23" i="5" s="1"/>
  <c r="L12" i="5"/>
  <c r="L23" i="5" s="1"/>
  <c r="K12" i="5"/>
  <c r="K23" i="5" s="1"/>
  <c r="J12" i="5"/>
  <c r="J23" i="5" s="1"/>
  <c r="I12" i="5"/>
  <c r="I23" i="5" s="1"/>
  <c r="H12" i="5"/>
  <c r="H23" i="5" s="1"/>
  <c r="G12" i="5"/>
  <c r="G23" i="5" s="1"/>
  <c r="F12" i="5"/>
  <c r="F23" i="5" s="1"/>
  <c r="E12" i="5"/>
  <c r="E23" i="5" s="1"/>
  <c r="D12" i="5"/>
  <c r="D23" i="5" s="1"/>
  <c r="C12" i="5"/>
  <c r="C23" i="5" s="1"/>
  <c r="B12" i="5"/>
  <c r="B23" i="5" s="1"/>
  <c r="M11" i="5"/>
  <c r="M22" i="5" s="1"/>
  <c r="L11" i="5"/>
  <c r="L22" i="5" s="1"/>
  <c r="K11" i="5"/>
  <c r="K22" i="5" s="1"/>
  <c r="M2" i="5"/>
  <c r="L2" i="5"/>
  <c r="K2" i="5"/>
  <c r="J2" i="5"/>
  <c r="I2" i="5"/>
  <c r="H2" i="5"/>
  <c r="G2" i="5"/>
  <c r="F2" i="5"/>
  <c r="E2" i="5"/>
  <c r="D2" i="5"/>
  <c r="C2" i="5"/>
  <c r="B2" i="5"/>
  <c r="B3" i="4"/>
  <c r="M2" i="4"/>
  <c r="L2" i="4"/>
  <c r="K2" i="4"/>
  <c r="J2" i="4"/>
  <c r="I2" i="4"/>
  <c r="H2" i="4"/>
  <c r="G2" i="4"/>
  <c r="F2" i="4"/>
  <c r="E2" i="4"/>
  <c r="D2" i="4"/>
  <c r="C2" i="4"/>
  <c r="B2" i="4"/>
  <c r="C27" i="3"/>
  <c r="B27" i="3"/>
  <c r="D27" i="3" s="1"/>
  <c r="D26" i="3"/>
  <c r="D25" i="3"/>
  <c r="D24" i="3"/>
  <c r="D23" i="3"/>
  <c r="D22" i="3"/>
  <c r="D21" i="3"/>
  <c r="C18" i="3"/>
  <c r="C29" i="3" s="1"/>
  <c r="B18" i="3"/>
  <c r="D17" i="3"/>
  <c r="D16" i="3"/>
  <c r="D15" i="3"/>
  <c r="D14" i="3"/>
  <c r="D13" i="3"/>
  <c r="D12" i="3"/>
  <c r="D11" i="3"/>
  <c r="B8" i="3"/>
  <c r="D8" i="3" s="1"/>
  <c r="C6" i="3"/>
  <c r="D6" i="3" s="1"/>
  <c r="B5" i="3"/>
  <c r="D5" i="3" s="1"/>
  <c r="C4" i="3"/>
  <c r="B4" i="3"/>
  <c r="D4" i="3" s="1"/>
  <c r="C3" i="3"/>
  <c r="C7" i="3" s="1"/>
  <c r="B3" i="3"/>
  <c r="B5" i="9" l="1"/>
  <c r="B6" i="9"/>
  <c r="C3" i="9" s="1"/>
  <c r="P26" i="7"/>
  <c r="K26" i="7"/>
  <c r="O26" i="7"/>
  <c r="J26" i="7"/>
  <c r="I26" i="7"/>
  <c r="N26" i="7"/>
  <c r="M26" i="7"/>
  <c r="H26" i="7"/>
  <c r="L26" i="7"/>
  <c r="G26" i="7"/>
  <c r="K25" i="7"/>
  <c r="K27" i="7" s="1"/>
  <c r="P25" i="7"/>
  <c r="P27" i="7" s="1"/>
  <c r="F27" i="7"/>
  <c r="E27" i="7"/>
  <c r="O25" i="7"/>
  <c r="O27" i="7" s="1"/>
  <c r="J25" i="7"/>
  <c r="J27" i="7" s="1"/>
  <c r="I25" i="7"/>
  <c r="D27" i="7"/>
  <c r="N25" i="7"/>
  <c r="M25" i="7"/>
  <c r="H25" i="7"/>
  <c r="C27" i="7"/>
  <c r="L25" i="7"/>
  <c r="G25" i="7"/>
  <c r="B27" i="7"/>
  <c r="F16" i="7"/>
  <c r="M16" i="7"/>
  <c r="H16" i="7"/>
  <c r="E16" i="7"/>
  <c r="K15" i="7"/>
  <c r="J15" i="7"/>
  <c r="I15" i="7"/>
  <c r="H15" i="7"/>
  <c r="G16" i="7"/>
  <c r="L16" i="7"/>
  <c r="K16" i="6"/>
  <c r="K17" i="6" s="1"/>
  <c r="L16" i="6"/>
  <c r="L17" i="6" s="1"/>
  <c r="M16" i="6"/>
  <c r="M17" i="6" s="1"/>
  <c r="B15" i="7"/>
  <c r="M4" i="6"/>
  <c r="M27" i="6" s="1"/>
  <c r="M9" i="5"/>
  <c r="M20" i="5" s="1"/>
  <c r="M8" i="5"/>
  <c r="M19" i="5" s="1"/>
  <c r="M6" i="5"/>
  <c r="M17" i="5" s="1"/>
  <c r="M7" i="5"/>
  <c r="M18" i="5" s="1"/>
  <c r="C6" i="7"/>
  <c r="M5" i="5"/>
  <c r="M16" i="5" s="1"/>
  <c r="M10" i="5"/>
  <c r="M21" i="5" s="1"/>
  <c r="L4" i="6"/>
  <c r="L27" i="6" s="1"/>
  <c r="L10" i="5"/>
  <c r="L21" i="5" s="1"/>
  <c r="L8" i="5"/>
  <c r="L19" i="5" s="1"/>
  <c r="L9" i="5"/>
  <c r="L20" i="5" s="1"/>
  <c r="L6" i="5"/>
  <c r="L17" i="5" s="1"/>
  <c r="L5" i="5"/>
  <c r="L16" i="5" s="1"/>
  <c r="L7" i="5"/>
  <c r="L18" i="5" s="1"/>
  <c r="K4" i="6"/>
  <c r="K27" i="6" s="1"/>
  <c r="K6" i="5"/>
  <c r="K17" i="5" s="1"/>
  <c r="K9" i="5"/>
  <c r="K20" i="5" s="1"/>
  <c r="K5" i="5"/>
  <c r="K16" i="5" s="1"/>
  <c r="K10" i="5"/>
  <c r="K21" i="5" s="1"/>
  <c r="K8" i="5"/>
  <c r="K19" i="5" s="1"/>
  <c r="K7" i="5"/>
  <c r="K18" i="5" s="1"/>
  <c r="J4" i="6"/>
  <c r="J27" i="6" s="1"/>
  <c r="J10" i="5"/>
  <c r="J21" i="5" s="1"/>
  <c r="J5" i="5"/>
  <c r="J16" i="5" s="1"/>
  <c r="J8" i="5"/>
  <c r="J19" i="5" s="1"/>
  <c r="J9" i="5"/>
  <c r="J20" i="5" s="1"/>
  <c r="J6" i="5"/>
  <c r="J17" i="5" s="1"/>
  <c r="J11" i="5"/>
  <c r="J22" i="5" s="1"/>
  <c r="J7" i="5"/>
  <c r="J18" i="5" s="1"/>
  <c r="I4" i="6"/>
  <c r="I27" i="6" s="1"/>
  <c r="I11" i="5"/>
  <c r="I22" i="5" s="1"/>
  <c r="I6" i="5"/>
  <c r="I17" i="5" s="1"/>
  <c r="I10" i="5"/>
  <c r="I21" i="5" s="1"/>
  <c r="I5" i="5"/>
  <c r="I16" i="5" s="1"/>
  <c r="I8" i="5"/>
  <c r="I19" i="5" s="1"/>
  <c r="I9" i="5"/>
  <c r="I20" i="5" s="1"/>
  <c r="I7" i="5"/>
  <c r="I18" i="5" s="1"/>
  <c r="H10" i="5"/>
  <c r="H21" i="5" s="1"/>
  <c r="H7" i="5"/>
  <c r="H18" i="5" s="1"/>
  <c r="H11" i="5"/>
  <c r="H22" i="5" s="1"/>
  <c r="H4" i="6"/>
  <c r="H27" i="6" s="1"/>
  <c r="H5" i="5"/>
  <c r="H16" i="5" s="1"/>
  <c r="H9" i="5"/>
  <c r="H20" i="5" s="1"/>
  <c r="H8" i="5"/>
  <c r="H19" i="5" s="1"/>
  <c r="H6" i="5"/>
  <c r="H17" i="5" s="1"/>
  <c r="G8" i="5"/>
  <c r="G19" i="5" s="1"/>
  <c r="G4" i="6"/>
  <c r="G27" i="6" s="1"/>
  <c r="G6" i="5"/>
  <c r="G17" i="5" s="1"/>
  <c r="G7" i="5"/>
  <c r="G18" i="5" s="1"/>
  <c r="G9" i="5"/>
  <c r="G20" i="5" s="1"/>
  <c r="G10" i="5"/>
  <c r="G21" i="5" s="1"/>
  <c r="G5" i="5"/>
  <c r="G16" i="5" s="1"/>
  <c r="G11" i="5"/>
  <c r="G22" i="5" s="1"/>
  <c r="F4" i="6"/>
  <c r="F27" i="6" s="1"/>
  <c r="F9" i="5"/>
  <c r="F20" i="5" s="1"/>
  <c r="F5" i="5"/>
  <c r="F16" i="5" s="1"/>
  <c r="F10" i="5"/>
  <c r="F21" i="5" s="1"/>
  <c r="F8" i="5"/>
  <c r="F19" i="5" s="1"/>
  <c r="F6" i="5"/>
  <c r="F17" i="5" s="1"/>
  <c r="F11" i="5"/>
  <c r="F22" i="5" s="1"/>
  <c r="F7" i="5"/>
  <c r="F18" i="5" s="1"/>
  <c r="E4" i="6"/>
  <c r="E27" i="6" s="1"/>
  <c r="E6" i="5"/>
  <c r="E17" i="5" s="1"/>
  <c r="E7" i="5"/>
  <c r="E18" i="5" s="1"/>
  <c r="E8" i="5"/>
  <c r="E19" i="5" s="1"/>
  <c r="E10" i="5"/>
  <c r="E21" i="5" s="1"/>
  <c r="E5" i="5"/>
  <c r="E16" i="5" s="1"/>
  <c r="E9" i="5"/>
  <c r="E20" i="5" s="1"/>
  <c r="E11" i="5"/>
  <c r="E22" i="5" s="1"/>
  <c r="D7" i="5"/>
  <c r="D18" i="5" s="1"/>
  <c r="D6" i="5"/>
  <c r="D17" i="5" s="1"/>
  <c r="D11" i="5"/>
  <c r="D22" i="5" s="1"/>
  <c r="D5" i="5"/>
  <c r="D16" i="5" s="1"/>
  <c r="D9" i="5"/>
  <c r="D20" i="5" s="1"/>
  <c r="D4" i="6"/>
  <c r="D27" i="6" s="1"/>
  <c r="D10" i="5"/>
  <c r="D21" i="5" s="1"/>
  <c r="D8" i="5"/>
  <c r="D19" i="5" s="1"/>
  <c r="C10" i="5"/>
  <c r="C21" i="5" s="1"/>
  <c r="C9" i="5"/>
  <c r="C20" i="5" s="1"/>
  <c r="C6" i="5"/>
  <c r="C17" i="5" s="1"/>
  <c r="C4" i="6"/>
  <c r="C27" i="6" s="1"/>
  <c r="C11" i="5"/>
  <c r="C22" i="5" s="1"/>
  <c r="C7" i="5"/>
  <c r="C18" i="5" s="1"/>
  <c r="C5" i="5"/>
  <c r="C16" i="5" s="1"/>
  <c r="C8" i="5"/>
  <c r="C19" i="5" s="1"/>
  <c r="B8" i="5"/>
  <c r="B19" i="5" s="1"/>
  <c r="B11" i="5"/>
  <c r="B22" i="5" s="1"/>
  <c r="B9" i="5"/>
  <c r="B20" i="5" s="1"/>
  <c r="B7" i="5"/>
  <c r="B18" i="5" s="1"/>
  <c r="B4" i="6"/>
  <c r="B27" i="6" s="1"/>
  <c r="B5" i="5"/>
  <c r="B16" i="5" s="1"/>
  <c r="N2" i="5"/>
  <c r="B6" i="5"/>
  <c r="B17" i="5" s="1"/>
  <c r="B10" i="5"/>
  <c r="B21" i="5" s="1"/>
  <c r="B4" i="4"/>
  <c r="N2" i="4"/>
  <c r="B29" i="3"/>
  <c r="D29" i="3" s="1"/>
  <c r="D18" i="3"/>
  <c r="B7" i="3"/>
  <c r="D7" i="3" s="1"/>
  <c r="D31" i="3" s="1"/>
  <c r="D3" i="3"/>
  <c r="C5" i="9" l="1"/>
  <c r="C6" i="9"/>
  <c r="D3" i="9" s="1"/>
  <c r="K16" i="7"/>
  <c r="P16" i="7"/>
  <c r="J16" i="7"/>
  <c r="O16" i="7"/>
  <c r="G15" i="7"/>
  <c r="C7" i="7"/>
  <c r="D6" i="7"/>
  <c r="C18" i="7"/>
  <c r="C9" i="12"/>
  <c r="N4" i="6"/>
  <c r="N27" i="6" s="1"/>
  <c r="B6" i="7"/>
  <c r="B18" i="7" s="1"/>
  <c r="B5" i="4"/>
  <c r="C3" i="4"/>
  <c r="C4" i="4" s="1"/>
  <c r="C5" i="4" s="1"/>
  <c r="I27" i="7"/>
  <c r="N27" i="7"/>
  <c r="M27" i="7"/>
  <c r="H27" i="7"/>
  <c r="L27" i="7"/>
  <c r="G27" i="7"/>
  <c r="K24" i="5"/>
  <c r="J24" i="5"/>
  <c r="I24" i="5"/>
  <c r="M24" i="5"/>
  <c r="L24" i="5"/>
  <c r="H24" i="5"/>
  <c r="G24" i="5"/>
  <c r="F24" i="5"/>
  <c r="E24" i="5"/>
  <c r="D24" i="5"/>
  <c r="C24" i="5"/>
  <c r="B24" i="5"/>
  <c r="D5" i="9" l="1"/>
  <c r="D6" i="9"/>
  <c r="E3" i="9" s="1"/>
  <c r="C3" i="8"/>
  <c r="C9" i="8" s="1"/>
  <c r="C11" i="7"/>
  <c r="C12" i="7" s="1"/>
  <c r="M7" i="7"/>
  <c r="H7" i="7"/>
  <c r="D7" i="7"/>
  <c r="E6" i="7"/>
  <c r="D18" i="7"/>
  <c r="D9" i="12"/>
  <c r="B6" i="4"/>
  <c r="B7" i="4"/>
  <c r="C6" i="4"/>
  <c r="C12" i="4" s="1"/>
  <c r="C25" i="6" s="1"/>
  <c r="C28" i="6" s="1"/>
  <c r="C7" i="4"/>
  <c r="D3" i="4"/>
  <c r="D4" i="4" s="1"/>
  <c r="D5" i="4" s="1"/>
  <c r="K25" i="5"/>
  <c r="K26" i="5" s="1"/>
  <c r="K9" i="6"/>
  <c r="J25" i="5"/>
  <c r="J26" i="5" s="1"/>
  <c r="J9" i="6"/>
  <c r="I25" i="5"/>
  <c r="I26" i="5" s="1"/>
  <c r="I9" i="6"/>
  <c r="M25" i="5"/>
  <c r="M26" i="5" s="1"/>
  <c r="M9" i="6"/>
  <c r="L25" i="5"/>
  <c r="L26" i="5" s="1"/>
  <c r="L9" i="6"/>
  <c r="H25" i="5"/>
  <c r="H26" i="5" s="1"/>
  <c r="H9" i="6"/>
  <c r="G25" i="5"/>
  <c r="G26" i="5" s="1"/>
  <c r="G9" i="6"/>
  <c r="F25" i="5"/>
  <c r="F26" i="5" s="1"/>
  <c r="F9" i="6"/>
  <c r="E25" i="5"/>
  <c r="E26" i="5" s="1"/>
  <c r="E9" i="6"/>
  <c r="D25" i="5"/>
  <c r="D26" i="5" s="1"/>
  <c r="D9" i="6"/>
  <c r="C25" i="5"/>
  <c r="C26" i="5" s="1"/>
  <c r="C9" i="6"/>
  <c r="B9" i="6"/>
  <c r="N24" i="5"/>
  <c r="N9" i="6" s="1"/>
  <c r="B25" i="5"/>
  <c r="E5" i="9" l="1"/>
  <c r="E6" i="9" s="1"/>
  <c r="F3" i="9" s="1"/>
  <c r="C4" i="8"/>
  <c r="C15" i="12"/>
  <c r="C14" i="12"/>
  <c r="M15" i="7"/>
  <c r="M11" i="7"/>
  <c r="M12" i="7" s="1"/>
  <c r="M18" i="7"/>
  <c r="H11" i="7"/>
  <c r="H12" i="7" s="1"/>
  <c r="H18" i="7"/>
  <c r="D3" i="8"/>
  <c r="D9" i="8" s="1"/>
  <c r="D11" i="7"/>
  <c r="D12" i="7" s="1"/>
  <c r="N7" i="7"/>
  <c r="I7" i="7"/>
  <c r="E7" i="7"/>
  <c r="F6" i="7"/>
  <c r="E18" i="7"/>
  <c r="E9" i="12"/>
  <c r="B12" i="4"/>
  <c r="B8" i="4"/>
  <c r="B9" i="4"/>
  <c r="C8" i="4"/>
  <c r="C9" i="4"/>
  <c r="E3" i="4"/>
  <c r="E4" i="4" s="1"/>
  <c r="E5" i="4" s="1"/>
  <c r="B16" i="4"/>
  <c r="D6" i="4"/>
  <c r="D7" i="4"/>
  <c r="B26" i="5"/>
  <c r="N25" i="5"/>
  <c r="N26" i="5" s="1"/>
  <c r="F5" i="9" l="1"/>
  <c r="F6" i="9" s="1"/>
  <c r="B19" i="8"/>
  <c r="C7" i="8"/>
  <c r="C8" i="8"/>
  <c r="D14" i="12"/>
  <c r="D4" i="8"/>
  <c r="D15" i="12"/>
  <c r="N15" i="7"/>
  <c r="N11" i="7"/>
  <c r="N12" i="7"/>
  <c r="N18" i="7"/>
  <c r="I11" i="7"/>
  <c r="I12" i="7"/>
  <c r="I18" i="7"/>
  <c r="E3" i="8"/>
  <c r="E9" i="8" s="1"/>
  <c r="E11" i="7"/>
  <c r="E12" i="7" s="1"/>
  <c r="O7" i="7"/>
  <c r="J7" i="7"/>
  <c r="F7" i="7"/>
  <c r="F18" i="7"/>
  <c r="F9" i="12"/>
  <c r="B25" i="6"/>
  <c r="B28" i="6" s="1"/>
  <c r="B10" i="4"/>
  <c r="B11" i="4"/>
  <c r="B3" i="6"/>
  <c r="B5" i="6" s="1"/>
  <c r="C10" i="4"/>
  <c r="C8" i="6" s="1"/>
  <c r="C10" i="6" s="1"/>
  <c r="C11" i="4"/>
  <c r="C13" i="4" s="1"/>
  <c r="C3" i="6"/>
  <c r="C5" i="6" s="1"/>
  <c r="F3" i="4"/>
  <c r="F4" i="4" s="1"/>
  <c r="F5" i="4" s="1"/>
  <c r="E6" i="4"/>
  <c r="E12" i="4" s="1"/>
  <c r="E25" i="6" s="1"/>
  <c r="E28" i="6" s="1"/>
  <c r="E7" i="4"/>
  <c r="D8" i="4"/>
  <c r="D9" i="4"/>
  <c r="D12" i="4"/>
  <c r="D25" i="6" s="1"/>
  <c r="D28" i="6" s="1"/>
  <c r="D7" i="8" l="1"/>
  <c r="D8" i="8"/>
  <c r="E14" i="12"/>
  <c r="E15" i="12"/>
  <c r="E4" i="8"/>
  <c r="O15" i="7"/>
  <c r="O11" i="7"/>
  <c r="O12" i="7"/>
  <c r="O18" i="7"/>
  <c r="J11" i="7"/>
  <c r="J12" i="7" s="1"/>
  <c r="J18" i="7"/>
  <c r="F3" i="8"/>
  <c r="F9" i="8" s="1"/>
  <c r="F11" i="7"/>
  <c r="F12" i="7" s="1"/>
  <c r="P7" i="7"/>
  <c r="K7" i="7"/>
  <c r="B8" i="6"/>
  <c r="B10" i="6" s="1"/>
  <c r="B11" i="6" s="1"/>
  <c r="B13" i="4"/>
  <c r="B12" i="6"/>
  <c r="B30" i="6"/>
  <c r="F6" i="4"/>
  <c r="F7" i="4"/>
  <c r="G3" i="4"/>
  <c r="G4" i="4"/>
  <c r="G5" i="4"/>
  <c r="E8" i="4"/>
  <c r="E9" i="4"/>
  <c r="D10" i="4"/>
  <c r="D11" i="4"/>
  <c r="B17" i="4"/>
  <c r="D3" i="6"/>
  <c r="D5" i="6" s="1"/>
  <c r="D11" i="6" s="1"/>
  <c r="C11" i="6"/>
  <c r="C10" i="8"/>
  <c r="E8" i="8" l="1"/>
  <c r="E7" i="8"/>
  <c r="E10" i="8" s="1"/>
  <c r="F4" i="8"/>
  <c r="F14" i="12"/>
  <c r="F15" i="12"/>
  <c r="P15" i="7"/>
  <c r="P11" i="7"/>
  <c r="P12" i="7"/>
  <c r="P18" i="7"/>
  <c r="K11" i="7"/>
  <c r="K12" i="7"/>
  <c r="K18" i="7"/>
  <c r="B31" i="6"/>
  <c r="B38" i="6"/>
  <c r="F12" i="4"/>
  <c r="F8" i="4"/>
  <c r="F9" i="4"/>
  <c r="H3" i="4"/>
  <c r="H4" i="4" s="1"/>
  <c r="H5" i="4" s="1"/>
  <c r="G6" i="4"/>
  <c r="G12" i="4" s="1"/>
  <c r="G25" i="6" s="1"/>
  <c r="G28" i="6" s="1"/>
  <c r="G7" i="4"/>
  <c r="E10" i="4"/>
  <c r="E3" i="6"/>
  <c r="E5" i="6" s="1"/>
  <c r="D12" i="6"/>
  <c r="D30" i="6"/>
  <c r="C30" i="6"/>
  <c r="C12" i="6"/>
  <c r="D10" i="8"/>
  <c r="D13" i="8" s="1"/>
  <c r="D8" i="6"/>
  <c r="D10" i="6" s="1"/>
  <c r="D13" i="4"/>
  <c r="F8" i="8" l="1"/>
  <c r="F7" i="8"/>
  <c r="F25" i="6"/>
  <c r="F28" i="6" s="1"/>
  <c r="F10" i="4"/>
  <c r="F11" i="4"/>
  <c r="F13" i="4" s="1"/>
  <c r="F3" i="6"/>
  <c r="F5" i="6" s="1"/>
  <c r="I3" i="4"/>
  <c r="I4" i="4" s="1"/>
  <c r="I5" i="4" s="1"/>
  <c r="H6" i="4"/>
  <c r="H7" i="4"/>
  <c r="G8" i="4"/>
  <c r="G9" i="4"/>
  <c r="D31" i="6"/>
  <c r="D38" i="6"/>
  <c r="C31" i="6"/>
  <c r="C38" i="6"/>
  <c r="E13" i="8"/>
  <c r="E8" i="6"/>
  <c r="E10" i="6" s="1"/>
  <c r="E11" i="6" s="1"/>
  <c r="E11" i="4"/>
  <c r="F8" i="6" l="1"/>
  <c r="F10" i="6" s="1"/>
  <c r="F11" i="6" s="1"/>
  <c r="F12" i="6"/>
  <c r="F30" i="6"/>
  <c r="J3" i="4"/>
  <c r="J4" i="4" s="1"/>
  <c r="J5" i="4" s="1"/>
  <c r="I6" i="4"/>
  <c r="I7" i="4"/>
  <c r="H12" i="4"/>
  <c r="H8" i="4"/>
  <c r="H9" i="4"/>
  <c r="G10" i="4"/>
  <c r="G11" i="4"/>
  <c r="G3" i="6"/>
  <c r="G5" i="6" s="1"/>
  <c r="G11" i="6" s="1"/>
  <c r="E30" i="6"/>
  <c r="E12" i="6"/>
  <c r="E13" i="4"/>
  <c r="F10" i="8"/>
  <c r="F13" i="8" s="1"/>
  <c r="F31" i="6" l="1"/>
  <c r="F38" i="6"/>
  <c r="K3" i="4"/>
  <c r="K4" i="4" s="1"/>
  <c r="K5" i="4" s="1"/>
  <c r="J6" i="4"/>
  <c r="J7" i="4"/>
  <c r="I8" i="4"/>
  <c r="I9" i="4" s="1"/>
  <c r="H25" i="6"/>
  <c r="H28" i="6" s="1"/>
  <c r="H10" i="4"/>
  <c r="H8" i="6" s="1"/>
  <c r="H10" i="6" s="1"/>
  <c r="H11" i="4"/>
  <c r="H13" i="4" s="1"/>
  <c r="H3" i="6"/>
  <c r="H5" i="6" s="1"/>
  <c r="H11" i="6" s="1"/>
  <c r="G12" i="6"/>
  <c r="G30" i="6"/>
  <c r="E31" i="6"/>
  <c r="E38" i="6"/>
  <c r="I12" i="4"/>
  <c r="I25" i="6" s="1"/>
  <c r="I28" i="6" s="1"/>
  <c r="G8" i="6"/>
  <c r="G10" i="6" s="1"/>
  <c r="G13" i="4"/>
  <c r="L3" i="4" l="1"/>
  <c r="L4" i="4" s="1"/>
  <c r="L5" i="4" s="1"/>
  <c r="K6" i="4"/>
  <c r="K7" i="4"/>
  <c r="J8" i="4"/>
  <c r="J9" i="4" s="1"/>
  <c r="I10" i="4"/>
  <c r="I11" i="4" s="1"/>
  <c r="I3" i="6"/>
  <c r="I5" i="6" s="1"/>
  <c r="H12" i="6"/>
  <c r="H30" i="6"/>
  <c r="G31" i="6"/>
  <c r="G38" i="6"/>
  <c r="J12" i="4"/>
  <c r="M3" i="4" l="1"/>
  <c r="L6" i="4"/>
  <c r="L7" i="4"/>
  <c r="K8" i="4"/>
  <c r="K9" i="4"/>
  <c r="J10" i="4"/>
  <c r="J11" i="4"/>
  <c r="J13" i="4" s="1"/>
  <c r="J3" i="6"/>
  <c r="J5" i="6" s="1"/>
  <c r="J11" i="6" s="1"/>
  <c r="I8" i="6"/>
  <c r="I10" i="6" s="1"/>
  <c r="I11" i="6" s="1"/>
  <c r="I13" i="4"/>
  <c r="I12" i="6"/>
  <c r="I30" i="6"/>
  <c r="H31" i="6"/>
  <c r="H38" i="6"/>
  <c r="J25" i="6"/>
  <c r="J28" i="6" s="1"/>
  <c r="K12" i="4"/>
  <c r="K25" i="6" s="1"/>
  <c r="K28" i="6" s="1"/>
  <c r="L8" i="4" l="1"/>
  <c r="L9" i="4"/>
  <c r="K10" i="4"/>
  <c r="K8" i="6" s="1"/>
  <c r="K10" i="6" s="1"/>
  <c r="K11" i="4"/>
  <c r="K3" i="6"/>
  <c r="K5" i="6" s="1"/>
  <c r="K11" i="6" s="1"/>
  <c r="J12" i="6"/>
  <c r="J30" i="6"/>
  <c r="I31" i="6"/>
  <c r="I38" i="6"/>
  <c r="N3" i="4"/>
  <c r="M4" i="4"/>
  <c r="L12" i="4"/>
  <c r="J8" i="6"/>
  <c r="J10" i="6" s="1"/>
  <c r="L10" i="4" l="1"/>
  <c r="L11" i="4"/>
  <c r="L13" i="4" s="1"/>
  <c r="L3" i="6"/>
  <c r="L5" i="6" s="1"/>
  <c r="K13" i="4"/>
  <c r="K12" i="6"/>
  <c r="K30" i="6"/>
  <c r="J31" i="6"/>
  <c r="J38" i="6"/>
  <c r="B9" i="12"/>
  <c r="N4" i="4"/>
  <c r="M5" i="4"/>
  <c r="L25" i="6"/>
  <c r="L28" i="6" s="1"/>
  <c r="L8" i="6" l="1"/>
  <c r="L10" i="6" s="1"/>
  <c r="L11" i="6" s="1"/>
  <c r="L12" i="6"/>
  <c r="L30" i="6"/>
  <c r="K38" i="6"/>
  <c r="K31" i="6"/>
  <c r="M7" i="4"/>
  <c r="M6" i="4"/>
  <c r="L31" i="6" l="1"/>
  <c r="L38" i="6"/>
  <c r="N7" i="4"/>
  <c r="M8" i="4"/>
  <c r="N6" i="4"/>
  <c r="M12" i="4"/>
  <c r="N12" i="4" l="1"/>
  <c r="N25" i="6" s="1"/>
  <c r="M25" i="6"/>
  <c r="M28" i="6" s="1"/>
  <c r="N8" i="4"/>
  <c r="M9" i="4"/>
  <c r="B17" i="7" l="1"/>
  <c r="N28" i="6"/>
  <c r="M3" i="6"/>
  <c r="M5" i="6" s="1"/>
  <c r="M11" i="4"/>
  <c r="M10" i="4"/>
  <c r="N9" i="4"/>
  <c r="B19" i="7" l="1"/>
  <c r="L17" i="7"/>
  <c r="G17" i="7"/>
  <c r="C17" i="7"/>
  <c r="N11" i="4"/>
  <c r="M13" i="4"/>
  <c r="N13" i="4" s="1"/>
  <c r="N10" i="4"/>
  <c r="N8" i="6" s="1"/>
  <c r="N10" i="6" s="1"/>
  <c r="M8" i="6"/>
  <c r="M10" i="6" s="1"/>
  <c r="M11" i="6" s="1"/>
  <c r="B5" i="7"/>
  <c r="B7" i="7" s="1"/>
  <c r="N3" i="6"/>
  <c r="N5" i="6" s="1"/>
  <c r="N11" i="6" s="1"/>
  <c r="C19" i="7" l="1"/>
  <c r="D17" i="7"/>
  <c r="H17" i="7"/>
  <c r="H19" i="7" s="1"/>
  <c r="H21" i="7" s="1"/>
  <c r="M17" i="7"/>
  <c r="M19" i="7" s="1"/>
  <c r="M21" i="7" s="1"/>
  <c r="M30" i="6"/>
  <c r="M12" i="6"/>
  <c r="G7" i="7"/>
  <c r="L7" i="7"/>
  <c r="B3" i="8"/>
  <c r="B9" i="8" s="1"/>
  <c r="B20" i="12"/>
  <c r="N12" i="6"/>
  <c r="B10" i="7" s="1"/>
  <c r="B11" i="7" s="1"/>
  <c r="B12" i="7" s="1"/>
  <c r="B21" i="7" s="1"/>
  <c r="N30" i="6"/>
  <c r="C21" i="7" l="1"/>
  <c r="F9" i="10"/>
  <c r="C9" i="10"/>
  <c r="B3" i="10"/>
  <c r="C4" i="10"/>
  <c r="B9" i="10"/>
  <c r="E10" i="10"/>
  <c r="D12" i="10"/>
  <c r="D13" i="10"/>
  <c r="B5" i="10"/>
  <c r="B10" i="10"/>
  <c r="B12" i="10"/>
  <c r="E13" i="10"/>
  <c r="B4" i="10"/>
  <c r="F4" i="10"/>
  <c r="F5" i="10"/>
  <c r="C10" i="10"/>
  <c r="B11" i="10"/>
  <c r="F11" i="10"/>
  <c r="F12" i="10"/>
  <c r="F13" i="10"/>
  <c r="E3" i="10"/>
  <c r="D4" i="10"/>
  <c r="E5" i="10"/>
  <c r="E9" i="10"/>
  <c r="E11" i="10"/>
  <c r="D3" i="10"/>
  <c r="E4" i="10"/>
  <c r="D5" i="10"/>
  <c r="D9" i="10"/>
  <c r="D10" i="10"/>
  <c r="C11" i="10"/>
  <c r="C12" i="10"/>
  <c r="C5" i="10"/>
  <c r="D11" i="10"/>
  <c r="F3" i="10"/>
  <c r="F10" i="10"/>
  <c r="E12" i="10"/>
  <c r="C13" i="10"/>
  <c r="C3" i="10"/>
  <c r="B13" i="10"/>
  <c r="B17" i="8"/>
  <c r="D19" i="7"/>
  <c r="D21" i="7" s="1"/>
  <c r="E17" i="7"/>
  <c r="I17" i="7"/>
  <c r="I19" i="7" s="1"/>
  <c r="I21" i="7" s="1"/>
  <c r="N17" i="7"/>
  <c r="N19" i="7" s="1"/>
  <c r="N21" i="7" s="1"/>
  <c r="C12" i="9"/>
  <c r="H22" i="7"/>
  <c r="H28" i="7"/>
  <c r="M22" i="7"/>
  <c r="C13" i="9"/>
  <c r="M28" i="7"/>
  <c r="M31" i="6"/>
  <c r="M38" i="6"/>
  <c r="G18" i="7"/>
  <c r="G19" i="7" s="1"/>
  <c r="L15" i="7"/>
  <c r="L18" i="7"/>
  <c r="B14" i="12"/>
  <c r="B15" i="12"/>
  <c r="B4" i="8"/>
  <c r="B22" i="7"/>
  <c r="B9" i="9"/>
  <c r="B11" i="9" s="1"/>
  <c r="B28" i="7"/>
  <c r="C20" i="12"/>
  <c r="B21" i="12"/>
  <c r="G10" i="7"/>
  <c r="G11" i="7" s="1"/>
  <c r="G12" i="7" s="1"/>
  <c r="G21" i="7" s="1"/>
  <c r="L10" i="7"/>
  <c r="L11" i="7" s="1"/>
  <c r="L12" i="7" s="1"/>
  <c r="N31" i="6"/>
  <c r="N38" i="6"/>
  <c r="C22" i="7" l="1"/>
  <c r="C9" i="9"/>
  <c r="C11" i="9" s="1"/>
  <c r="C28" i="7"/>
  <c r="D9" i="9"/>
  <c r="D11" i="9" s="1"/>
  <c r="D22" i="7"/>
  <c r="D28" i="7"/>
  <c r="E19" i="7"/>
  <c r="E21" i="7" s="1"/>
  <c r="F17" i="7"/>
  <c r="J17" i="7"/>
  <c r="J19" i="7" s="1"/>
  <c r="J21" i="7" s="1"/>
  <c r="O17" i="7"/>
  <c r="O19" i="7" s="1"/>
  <c r="O21" i="7" s="1"/>
  <c r="I22" i="7"/>
  <c r="D12" i="9"/>
  <c r="I28" i="7"/>
  <c r="D13" i="9"/>
  <c r="N28" i="7"/>
  <c r="N22" i="7"/>
  <c r="G28" i="7"/>
  <c r="B12" i="9"/>
  <c r="G22" i="7"/>
  <c r="B7" i="8"/>
  <c r="B8" i="8"/>
  <c r="D20" i="12"/>
  <c r="C21" i="12"/>
  <c r="L19" i="7"/>
  <c r="L21" i="7" s="1"/>
  <c r="E9" i="9" l="1"/>
  <c r="E11" i="9" s="1"/>
  <c r="E22" i="7"/>
  <c r="E28" i="7"/>
  <c r="F19" i="7"/>
  <c r="F21" i="7" s="1"/>
  <c r="K17" i="7"/>
  <c r="K19" i="7" s="1"/>
  <c r="K21" i="7" s="1"/>
  <c r="P17" i="7"/>
  <c r="P19" i="7" s="1"/>
  <c r="P21" i="7" s="1"/>
  <c r="J22" i="7"/>
  <c r="E12" i="9"/>
  <c r="J28" i="7"/>
  <c r="E13" i="9"/>
  <c r="O28" i="7"/>
  <c r="O22" i="7"/>
  <c r="D21" i="12"/>
  <c r="E20" i="12"/>
  <c r="L22" i="7"/>
  <c r="B13" i="9"/>
  <c r="L28" i="7"/>
  <c r="B10" i="8"/>
  <c r="F22" i="7" l="1"/>
  <c r="F9" i="9"/>
  <c r="F11" i="9" s="1"/>
  <c r="F28" i="7"/>
  <c r="K22" i="7"/>
  <c r="F12" i="9"/>
  <c r="K28" i="7"/>
  <c r="F13" i="9"/>
  <c r="P28" i="7"/>
  <c r="P22" i="7"/>
  <c r="E21" i="12"/>
  <c r="F20" i="12"/>
  <c r="F21" i="12" s="1"/>
  <c r="B13" i="8"/>
  <c r="C13" i="8"/>
</calcChain>
</file>

<file path=xl/sharedStrings.xml><?xml version="1.0" encoding="utf-8"?>
<sst xmlns="http://schemas.openxmlformats.org/spreadsheetml/2006/main" count="621" uniqueCount="477">
  <si>
    <t>Uncle May's Produce — North Lawndale Food Hub</t>
  </si>
  <si>
    <t>Steans Family Foundation Financial Model</t>
  </si>
  <si>
    <t>3726 W 16th Street, Chicago, IL 60623 | 3,000 sq ft | Black-owned grocery + prepared foods</t>
  </si>
  <si>
    <t>Prepared: May 2026</t>
  </si>
  <si>
    <t>STRUCTURE</t>
  </si>
  <si>
    <t>This workbook is structured around a TWO-PHASE capital deployment:</t>
  </si>
  <si>
    <t xml:space="preserve">    Phase 1 (Months 1-3): Produce-box delivery launch, ~$250K capital</t>
  </si>
  <si>
    <t xml:space="preserve">    Phase 2 (Months 4-7+): Retail buildout and operation, ~$500K capital</t>
  </si>
  <si>
    <t>Phase 2 release is conditional on Phase 1 milestone gates (see 'Milestones' tab).</t>
  </si>
  <si>
    <t>HOW TO USE</t>
  </si>
  <si>
    <t>All blue-font cells on the 'Inputs' tab are user-editable assumptions.</t>
  </si>
  <si>
    <t>Black-font cells are formulas. Do not edit unless you know what you're changing.</t>
  </si>
  <si>
    <t>Green-font cells are cross-tab references.</t>
  </si>
  <si>
    <t>Change any input on 'Inputs' and the entire model recalculates.</t>
  </si>
  <si>
    <t>TAB GUIDE</t>
  </si>
  <si>
    <t xml:space="preserve">    Inputs              All assumptions, color-coded blue</t>
  </si>
  <si>
    <t xml:space="preserve">    Capital Stack       Sources and Uses by tranche</t>
  </si>
  <si>
    <t xml:space="preserve">    Phase 1 Revenue     Produce-box subscriber ramp, monthly Year 1</t>
  </si>
  <si>
    <t xml:space="preserve">    Phase 2 Revenue     Retail department mix, monthly Year 1 + annual Y2-5</t>
  </si>
  <si>
    <t xml:space="preserve">    P&amp;L Monthly Y1      Combined monthly P&amp;L</t>
  </si>
  <si>
    <t xml:space="preserve">    P&amp;L Annual          5-year P&amp;L, 3 scenarios (base / downside / stress)</t>
  </si>
  <si>
    <t xml:space="preserve">    Working Capital     Cash conversion cycle and reserve modeling</t>
  </si>
  <si>
    <t xml:space="preserve">    Debt &amp; DSCR         Debt schedule and coverage ratios</t>
  </si>
  <si>
    <t xml:space="preserve">    Sensitivity         EBITDA sensitivity to revenue, GM, and labor</t>
  </si>
  <si>
    <t xml:space="preserve">    Milestones          Phase 1 to Phase 2 release gates</t>
  </si>
  <si>
    <t xml:space="preserve">    Impact              Steans-format community outcomes</t>
  </si>
  <si>
    <t>KEY ASSUMPTIONS NOTE</t>
  </si>
  <si>
    <t xml:space="preserve">Equipment offset at 3726 W 16th: This model assumes ~$200K of in-place equipment </t>
  </si>
  <si>
    <t>(refrigeration, walk-ins, kitchen black iron, counters, shelving) at the Muldrow space.</t>
  </si>
  <si>
    <t>This is the single largest economic lever and the largest model dependency.</t>
  </si>
  <si>
    <t>An equipment audit prior to final submission is recommended to firm the number.</t>
  </si>
  <si>
    <t>Revenue benchmarks: Industry comparables suggest $300 to $550 per sq ft for</t>
  </si>
  <si>
    <t>small-format underserved-market grocery, building over 18 to 24 months.</t>
  </si>
  <si>
    <t>This model targets ~$200/sf Year 1 (ramp), ~$385/sf Year 2 (stabilized),</t>
  </si>
  <si>
    <t>rising to ~$500/sf by Year 3. See 'Comparables Memo' for sourcing.</t>
  </si>
  <si>
    <t>Color key:</t>
  </si>
  <si>
    <t xml:space="preserve">    Blue font   = user input (editable)</t>
  </si>
  <si>
    <t xml:space="preserve">    Black font  = formula</t>
  </si>
  <si>
    <t xml:space="preserve">    Green font  = cross-tab reference</t>
  </si>
  <si>
    <t>Assumption</t>
  </si>
  <si>
    <t>Value</t>
  </si>
  <si>
    <t>Unit</t>
  </si>
  <si>
    <t>Notes / Source</t>
  </si>
  <si>
    <t>PROJECT BASICS</t>
  </si>
  <si>
    <t>Footprint (sq ft)</t>
  </si>
  <si>
    <t>sq ft</t>
  </si>
  <si>
    <t>3726 W 16th St, Muldrow space</t>
  </si>
  <si>
    <t>Phase 1 rent (Months 1-3)</t>
  </si>
  <si>
    <t>$/mo</t>
  </si>
  <si>
    <t>90-day rent-free per Muldrow MOU</t>
  </si>
  <si>
    <t>Phase 2 rent subsidized rate</t>
  </si>
  <si>
    <t>$/sf/yr</t>
  </si>
  <si>
    <t>Subsidized for first 12 months post-Phase 2 open</t>
  </si>
  <si>
    <t>Market rent (Year 2+)</t>
  </si>
  <si>
    <t>West-side neighborhood retail comp band: $18-$25</t>
  </si>
  <si>
    <t>Phase 2 open month</t>
  </si>
  <si>
    <t>month</t>
  </si>
  <si>
    <t>Retail floor opens Month 7</t>
  </si>
  <si>
    <t>PHASE 1 — PRODUCE BOX BUSINESS</t>
  </si>
  <si>
    <t>Average box price</t>
  </si>
  <si>
    <t>$/box</t>
  </si>
  <si>
    <t>Range $25-$80 per Anthony; $50 mid-point</t>
  </si>
  <si>
    <t>Box gross margin</t>
  </si>
  <si>
    <t>%</t>
  </si>
  <si>
    <t>25% per Anthony</t>
  </si>
  <si>
    <t>Boxes per subscriber per month</t>
  </si>
  <si>
    <t>boxes</t>
  </si>
  <si>
    <t>Weekly delivery x 4 weeks</t>
  </si>
  <si>
    <t>Delivery cost per box</t>
  </si>
  <si>
    <t>Variable cost (driver labor, fuel, packaging)</t>
  </si>
  <si>
    <t>One-time order revenue (% of sub revenue)</t>
  </si>
  <si>
    <t>Non-subscriber walk-up and one-off orders</t>
  </si>
  <si>
    <t>Monthly subscriber churn</t>
  </si>
  <si>
    <t>5% monthly = ~46% annual retention; conservative</t>
  </si>
  <si>
    <t>New subscribers — Month 1</t>
  </si>
  <si>
    <t>subs</t>
  </si>
  <si>
    <t>Community launch + Pembroke + friends/family</t>
  </si>
  <si>
    <t>New subscribers — Month 2</t>
  </si>
  <si>
    <t>Word of mouth and outreach</t>
  </si>
  <si>
    <t>New subscribers — Month 3</t>
  </si>
  <si>
    <t>Tranche 2 gate threshold = 100 active by end of M3</t>
  </si>
  <si>
    <t>New subscribers — Month 4</t>
  </si>
  <si>
    <t>New subscribers — Month 5</t>
  </si>
  <si>
    <t>New subscribers — Month 6</t>
  </si>
  <si>
    <t>New subscribers — Month 7</t>
  </si>
  <si>
    <t>Retail launch absorbs some attention</t>
  </si>
  <si>
    <t>New subscribers — Month 8</t>
  </si>
  <si>
    <t>New subscribers — Month 9</t>
  </si>
  <si>
    <t>New subscribers — Month 10</t>
  </si>
  <si>
    <t>New subscribers — Month 11</t>
  </si>
  <si>
    <t>New subscribers — Month 12</t>
  </si>
  <si>
    <t>Steady-state acquisition rate</t>
  </si>
  <si>
    <t>PHASE 2 — RETAIL</t>
  </si>
  <si>
    <t>Retail revenue — Month 7 (open)</t>
  </si>
  <si>
    <t>Soft open, limited assortment</t>
  </si>
  <si>
    <t>Retail revenue — Month 8</t>
  </si>
  <si>
    <t>Retail revenue — Month 9</t>
  </si>
  <si>
    <t>Retail revenue — Month 10</t>
  </si>
  <si>
    <t>Retail revenue — Month 11</t>
  </si>
  <si>
    <t>Retail revenue — Month 12</t>
  </si>
  <si>
    <t>Year 1 exit run-rate</t>
  </si>
  <si>
    <t>Dry grocery — % of retail mix</t>
  </si>
  <si>
    <t>Industry: 35-45%; we run leaner SKU count</t>
  </si>
  <si>
    <t>Dry grocery — gross margin</t>
  </si>
  <si>
    <t>Industry 25-28%</t>
  </si>
  <si>
    <t>Produce — % of retail mix</t>
  </si>
  <si>
    <t>Pembroke direct sourcing</t>
  </si>
  <si>
    <t>Produce — gross margin</t>
  </si>
  <si>
    <t>Industry 38-45% with direct sourcing</t>
  </si>
  <si>
    <t>Dairy — % of retail mix</t>
  </si>
  <si>
    <t>Dairy — gross margin</t>
  </si>
  <si>
    <t>Meat — % of retail mix</t>
  </si>
  <si>
    <t>Meat — gross margin</t>
  </si>
  <si>
    <t>Frozen — % of retail mix</t>
  </si>
  <si>
    <t>Frozen — gross margin</t>
  </si>
  <si>
    <t>Prepared / hot foods — % of retail mix</t>
  </si>
  <si>
    <t>Highest-margin category; differentiator</t>
  </si>
  <si>
    <t>Prepared / hot foods — gross margin</t>
  </si>
  <si>
    <t>Industry 45-60%</t>
  </si>
  <si>
    <t>Deli / bakery — % of retail mix</t>
  </si>
  <si>
    <t>Deli / bakery — gross margin</t>
  </si>
  <si>
    <t>Private label — % of retail mix</t>
  </si>
  <si>
    <t>Uncle May's branded goods</t>
  </si>
  <si>
    <t>Private label — gross margin</t>
  </si>
  <si>
    <t>Retail revenue Y2 growth</t>
  </si>
  <si>
    <t>Y1 exit run-rate $90K/mo annualized + 20% growth</t>
  </si>
  <si>
    <t>Retail revenue Y3 growth</t>
  </si>
  <si>
    <t>Stabilization</t>
  </si>
  <si>
    <t>Retail revenue Y4 growth</t>
  </si>
  <si>
    <t>Retail revenue Y5 growth</t>
  </si>
  <si>
    <t>Mature steady-state</t>
  </si>
  <si>
    <t>Y2 produce subscribers (avg active)</t>
  </si>
  <si>
    <t>Citywide delivery, Phase 1 hardened (avg over Y2)</t>
  </si>
  <si>
    <t>Y3 produce subscribers (avg active)</t>
  </si>
  <si>
    <t>Y4 produce subscribers (avg active)</t>
  </si>
  <si>
    <t>Y5 produce subscribers (avg active)</t>
  </si>
  <si>
    <t>OPERATING EXPENSES</t>
  </si>
  <si>
    <t>Wage rate (avg loaded)</t>
  </si>
  <si>
    <t>$/hr</t>
  </si>
  <si>
    <t>$16/hr base + 15% taxes/benefits</t>
  </si>
  <si>
    <t>FTE hours per month</t>
  </si>
  <si>
    <t>hrs</t>
  </si>
  <si>
    <t>40 hr/wk x 4.33 weeks</t>
  </si>
  <si>
    <t>Phase 1 FTE — Months 1-3</t>
  </si>
  <si>
    <t>FTE</t>
  </si>
  <si>
    <t>Drivers, packers, ops manager, kitchen prep</t>
  </si>
  <si>
    <t>Phase 1 FTE — Months 4-6</t>
  </si>
  <si>
    <t>Phase 2 FTE — Months 7-9</t>
  </si>
  <si>
    <t>Retail launch</t>
  </si>
  <si>
    <t>Phase 2 FTE — Months 10-12</t>
  </si>
  <si>
    <t>Y2 FTE — average</t>
  </si>
  <si>
    <t>#,##0</t>
  </si>
  <si>
    <t>Y3 FTE — average</t>
  </si>
  <si>
    <t>Y4 FTE — average</t>
  </si>
  <si>
    <t>Y5 FTE — average</t>
  </si>
  <si>
    <t>Utilities (Phase 1, MOU absorbs)</t>
  </si>
  <si>
    <t>Per Muldrow MOU during Phase 1</t>
  </si>
  <si>
    <t>Utilities (Phase 2, monthly)</t>
  </si>
  <si>
    <t>Electricity, water, gas, internet</t>
  </si>
  <si>
    <t>Insurance (annual)</t>
  </si>
  <si>
    <t>$/yr</t>
  </si>
  <si>
    <t>GL + property + workers comp</t>
  </si>
  <si>
    <t>POS / technology (monthly)</t>
  </si>
  <si>
    <t>Software + hardware service</t>
  </si>
  <si>
    <t>Cleaning / supplies (monthly)</t>
  </si>
  <si>
    <t>Consumables</t>
  </si>
  <si>
    <t>Marketing / outreach (monthly Y1)</t>
  </si>
  <si>
    <t>Local press, community events, social</t>
  </si>
  <si>
    <t>Vehicle / delivery overhead</t>
  </si>
  <si>
    <t>Vehicle lease or shared, maintenance</t>
  </si>
  <si>
    <t>Professional fees (monthly)</t>
  </si>
  <si>
    <t>Legal, accounting, compliance</t>
  </si>
  <si>
    <t>Shrink / waste (% of retail revenue)</t>
  </si>
  <si>
    <t>Industry 2-4%; produce-heavy at upper end</t>
  </si>
  <si>
    <t>CAPITAL STACK</t>
  </si>
  <si>
    <t>Tranche 1 (Phase 1 launch)</t>
  </si>
  <si>
    <t>$</t>
  </si>
  <si>
    <t>Phase 1 produce-box business</t>
  </si>
  <si>
    <t>Tranche 2 (Phase 2 retail)</t>
  </si>
  <si>
    <t>Conditional on Phase 1 milestones</t>
  </si>
  <si>
    <t>Workforce dev grant (T1 portion)</t>
  </si>
  <si>
    <t>Year 1 staffing offset, Phase 1</t>
  </si>
  <si>
    <t>Workforce dev grant (T2 portion)</t>
  </si>
  <si>
    <t>Year 1 staffing offset, Phase 2</t>
  </si>
  <si>
    <t>Term debt — Phase 1 portion</t>
  </si>
  <si>
    <t>Equipment + inventory; 7-yr amort, 6%</t>
  </si>
  <si>
    <t>Term debt — Phase 2 portion</t>
  </si>
  <si>
    <t>Buildout + equipment + inventory; 7-yr amort, 6%</t>
  </si>
  <si>
    <t>Subordinated debt — Phase 1 reserve</t>
  </si>
  <si>
    <t>Phase 1 cash buffer; 7-yr, 4% (PRI-style)</t>
  </si>
  <si>
    <t>Operating reserve (subordinated)</t>
  </si>
  <si>
    <t>6-9 months Phase 2 opex; T2 only</t>
  </si>
  <si>
    <t>Line of credit facility</t>
  </si>
  <si>
    <t>Revolving for working capital and CCC drag</t>
  </si>
  <si>
    <t>LoC interest rate</t>
  </si>
  <si>
    <t>Prime + 1, approximate</t>
  </si>
  <si>
    <t>Term debt interest rate</t>
  </si>
  <si>
    <t>Below-market Steans-style PRI</t>
  </si>
  <si>
    <t>Term debt amortization (years)</t>
  </si>
  <si>
    <t>years</t>
  </si>
  <si>
    <t>Average LoC drawn (Y1)</t>
  </si>
  <si>
    <t>CCC drag during ramp</t>
  </si>
  <si>
    <t>Average LoC drawn (Y2)</t>
  </si>
  <si>
    <t>Improving as vendor terms earn out</t>
  </si>
  <si>
    <t>WORKING CAPITAL</t>
  </si>
  <si>
    <t>Days Inventory Outstanding (Y1)</t>
  </si>
  <si>
    <t>days</t>
  </si>
  <si>
    <t>Independent ramp; mostly fresh</t>
  </si>
  <si>
    <t>Days Inventory Outstanding (Y2+)</t>
  </si>
  <si>
    <t>Mature, mix shifts to faster turn</t>
  </si>
  <si>
    <t>Days Payable Outstanding (Y1)</t>
  </si>
  <si>
    <t>New independent; vendors require Net 7-15</t>
  </si>
  <si>
    <t>Days Payable Outstanding (Y2+)</t>
  </si>
  <si>
    <t>Earned over 12-18 months</t>
  </si>
  <si>
    <t>Days Sales Outstanding</t>
  </si>
  <si>
    <t>Card float</t>
  </si>
  <si>
    <t>Opening assortment investment</t>
  </si>
  <si>
    <t>Day-1 shelf fill; partly liquidates over Months 1-6</t>
  </si>
  <si>
    <t>Sources &amp; Uses</t>
  </si>
  <si>
    <t>Tranche 1</t>
  </si>
  <si>
    <t>Tranche 2</t>
  </si>
  <si>
    <t>Total</t>
  </si>
  <si>
    <t>Notes / Instrument</t>
  </si>
  <si>
    <t>SOURCES</t>
  </si>
  <si>
    <t>Workforce development grant</t>
  </si>
  <si>
    <t>Steans-aligned: NLW priority is workforce/jobs/economic opportunity</t>
  </si>
  <si>
    <t>Term debt (subordinated, below-market)</t>
  </si>
  <si>
    <t>PRI-style 6%, 7-year amortization</t>
  </si>
  <si>
    <t>Subordinated debt (Phase 1 reserve)</t>
  </si>
  <si>
    <t>Phase 1 cash buffer; below-market PRI-style</t>
  </si>
  <si>
    <t>Operating reserve (subordinated, Phase 2)</t>
  </si>
  <si>
    <t>6-9 months Phase 2 opex; held in cash at Tranche 2 close</t>
  </si>
  <si>
    <t>Total sources (deployed at close)</t>
  </si>
  <si>
    <t>Plus: Line of credit facility (off-balance, drawable)</t>
  </si>
  <si>
    <t>Revolving facility, draws as needed; not deployed at close</t>
  </si>
  <si>
    <t>USES — TRANCHE 1 (Phase 1 produce-box launch)</t>
  </si>
  <si>
    <t>Equipment supplements (delivery, packing, refrig top-up)</t>
  </si>
  <si>
    <t>Subject to equipment audit</t>
  </si>
  <si>
    <t>Initial inventory (90-day produce + dry goods + packaging)</t>
  </si>
  <si>
    <t>Phase 1 produce + light retail prep</t>
  </si>
  <si>
    <t>Phase 1 staffing (5-7 FTE x 3-6 months net of grant)</t>
  </si>
  <si>
    <t>Workforce grant absorbs majority</t>
  </si>
  <si>
    <t>Working capital reserve (Phase 1)</t>
  </si>
  <si>
    <t>Outreach, marketing, permits, legal</t>
  </si>
  <si>
    <t>Community launch, brand, registrations</t>
  </si>
  <si>
    <t>Software, POS, ops infrastructure</t>
  </si>
  <si>
    <t>Subscription mgmt, route optimization, basic POS</t>
  </si>
  <si>
    <t>Tranche 1 contingency (6%)</t>
  </si>
  <si>
    <t xml:space="preserve">    Total Tranche 1 uses</t>
  </si>
  <si>
    <t>USES — TRANCHE 2 (Phase 2 retail launch)</t>
  </si>
  <si>
    <t>Retail buildout delta (signage, finish, partitions)</t>
  </si>
  <si>
    <t>Existing equipment offsets vanilla-shell build</t>
  </si>
  <si>
    <t>Equipment delta (only items not on-site)</t>
  </si>
  <si>
    <t>Inventory expansion (full retail assortment)</t>
  </si>
  <si>
    <t>Day-1 shelf fill</t>
  </si>
  <si>
    <t>Phase 2 staffing scale-up (months 7-12 net of grant)</t>
  </si>
  <si>
    <t>Retail launch labor</t>
  </si>
  <si>
    <t>Operating reserve (6-9 months Phase 2 opex)</t>
  </si>
  <si>
    <t>Critical line; absent in prior model versions</t>
  </si>
  <si>
    <t>Phase 2 contingency (4%)</t>
  </si>
  <si>
    <t xml:space="preserve">    Total Tranche 2 uses</t>
  </si>
  <si>
    <t>Total uses</t>
  </si>
  <si>
    <t>Sources less uses (must be zero)</t>
  </si>
  <si>
    <t>Phase 1 — Produce Box Business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</si>
  <si>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</si>
  <si>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</si>
  <si>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</si>
  <si>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</si>
  <si>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</si>
  <si>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</si>
  <si>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</si>
  <si>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</si>
  <si>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</si>
  <si>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</si>
  <si>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</si>
  <si>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</si>
  <si>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Year 1 Total</t>
  </si>
  <si>
    <t>New subscribers (gross adds)</t>
  </si>
  <si>
    <t>Subscribers churned</t>
  </si>
  <si>
    <t>Active subscribers (end of month)</t>
  </si>
  <si>
    <t xml:space="preserve">  Avg active subscribers (this month)</t>
  </si>
  <si>
    <t>Boxes shipped (subscriber + one-time)</t>
  </si>
  <si>
    <t>Subscription revenue</t>
  </si>
  <si>
    <t>One-time order revenue</t>
  </si>
  <si>
    <t>Total Phase 1 revenue</t>
  </si>
  <si>
    <t>COGS (75% of revenue)</t>
  </si>
  <si>
    <t>Gross profit</t>
  </si>
  <si>
    <t>Delivery cost (driver, fuel, packaging)</t>
  </si>
  <si>
    <t>Contribution margin (Phase 1)</t>
  </si>
  <si>
    <t>Tranche 2 release gate check (end of Month 3)</t>
  </si>
  <si>
    <t>Active subscribers at M3 (target: 100+)</t>
  </si>
  <si>
    <t>M3 monthly revenue (target: $15K-$25K)</t>
  </si>
  <si>
    <t>Phase 2 — Retail Floor</t>
  </si>
  <si>
    <t>Total retail revenue</t>
  </si>
  <si>
    <t>Revenue by department (= mix % * total revenue)</t>
  </si>
  <si>
    <t xml:space="preserve">  Dry grocery (Dry grocery mix)</t>
  </si>
  <si>
    <t xml:space="preserve">  Produce (Produce mix)</t>
  </si>
  <si>
    <t xml:space="preserve">  Dairy (Dairy mix)</t>
  </si>
  <si>
    <t xml:space="preserve">  Meat (Meat mix)</t>
  </si>
  <si>
    <t xml:space="preserve">  Frozen (Frozen mix)</t>
  </si>
  <si>
    <t xml:space="preserve">  Prepared / hot foods (Prepared / hot foods mix)</t>
  </si>
  <si>
    <t xml:space="preserve">  Deli / bakery (Deli / bakery mix)</t>
  </si>
  <si>
    <t xml:space="preserve">  Private label (Private label mix)</t>
  </si>
  <si>
    <t xml:space="preserve">  Mix check (=100%)</t>
  </si>
  <si>
    <t>COGS by department (= revenue * (1-GM))</t>
  </si>
  <si>
    <t xml:space="preserve">  Dry grocery COGS</t>
  </si>
  <si>
    <t xml:space="preserve">  Produce COGS</t>
  </si>
  <si>
    <t xml:space="preserve">  Dairy COGS</t>
  </si>
  <si>
    <t xml:space="preserve">  Meat COGS</t>
  </si>
  <si>
    <t xml:space="preserve">  Frozen COGS</t>
  </si>
  <si>
    <t xml:space="preserve">  Prepared / hot foods COGS</t>
  </si>
  <si>
    <t xml:space="preserve">  Deli / bakery COGS</t>
  </si>
  <si>
    <t xml:space="preserve">  Private label COGS</t>
  </si>
  <si>
    <t>Total retail COGS</t>
  </si>
  <si>
    <t>Total retail gross profit</t>
  </si>
  <si>
    <t>Blended retail GM %</t>
  </si>
  <si>
    <t>P&amp;L (Combined Phase 1 + Phase 2)</t>
  </si>
  <si>
    <t>Revenue</t>
  </si>
  <si>
    <t>Phase 1 produce-box revenue</t>
  </si>
  <si>
    <t>Phase 2 retail revenue</t>
  </si>
  <si>
    <t>Total revenue</t>
  </si>
  <si>
    <t>Cost of goods sold</t>
  </si>
  <si>
    <t>Phase 1 COGS</t>
  </si>
  <si>
    <t>Phase 2 COGS</t>
  </si>
  <si>
    <t>Total COGS</t>
  </si>
  <si>
    <t xml:space="preserve">  Gross margin %</t>
  </si>
  <si>
    <t>Operating expenses</t>
  </si>
  <si>
    <t xml:space="preserve">  Labor (gross)</t>
  </si>
  <si>
    <t xml:space="preserve">  Less: Workforce dev grant offset (amortized)</t>
  </si>
  <si>
    <t xml:space="preserve">  Net labor</t>
  </si>
  <si>
    <t xml:space="preserve">  Rent (subsidized)</t>
  </si>
  <si>
    <t xml:space="preserve">  Utilities</t>
  </si>
  <si>
    <t xml:space="preserve">  Insurance</t>
  </si>
  <si>
    <t xml:space="preserve">  POS / technology</t>
  </si>
  <si>
    <t xml:space="preserve">  Cleaning / supplies</t>
  </si>
  <si>
    <t xml:space="preserve">  Marketing / outreach</t>
  </si>
  <si>
    <t xml:space="preserve">  Vehicle / delivery overhead</t>
  </si>
  <si>
    <t xml:space="preserve">  Phase 1 delivery variable cost</t>
  </si>
  <si>
    <t xml:space="preserve">  Professional fees</t>
  </si>
  <si>
    <t xml:space="preserve">  Shrink / waste (% of retail revenue)</t>
  </si>
  <si>
    <t>Total operating expenses</t>
  </si>
  <si>
    <t>EBITDA</t>
  </si>
  <si>
    <t xml:space="preserve">  EBITDA margin %</t>
  </si>
  <si>
    <t>Below EBITDA</t>
  </si>
  <si>
    <t xml:space="preserve">  D&amp;A (estimated, equipment 7-yr SL)</t>
  </si>
  <si>
    <t xml:space="preserve">  Interest — term debt</t>
  </si>
  <si>
    <t xml:space="preserve">  Interest — line of credit</t>
  </si>
  <si>
    <t>Net income (pre-tax)</t>
  </si>
  <si>
    <t>BASE CASE</t>
  </si>
  <si>
    <t>DOWNSIDE</t>
  </si>
  <si>
    <t>STRESS</t>
  </si>
  <si>
    <t>Annual P&amp;L</t>
  </si>
  <si>
    <t>Y1</t>
  </si>
  <si>
    <t>Y2</t>
  </si>
  <si>
    <t>Y3</t>
  </si>
  <si>
    <t>Y4</t>
  </si>
  <si>
    <t>Y5</t>
  </si>
  <si>
    <t xml:space="preserve">  Phase 1 produce-box revenue (base)</t>
  </si>
  <si>
    <t xml:space="preserve">  Phase 2 retail revenue (base)</t>
  </si>
  <si>
    <t>Total revenue (base)</t>
  </si>
  <si>
    <t>Gross margin %</t>
  </si>
  <si>
    <t>Blended GM %</t>
  </si>
  <si>
    <t xml:space="preserve">  COGS</t>
  </si>
  <si>
    <t xml:space="preserve">  Labor (loaded, post-grant Y1)</t>
  </si>
  <si>
    <t xml:space="preserve">  Rent</t>
  </si>
  <si>
    <t xml:space="preserve">  Utilities, insurance, POS, supplies, prof fees, vehicle, marketing</t>
  </si>
  <si>
    <t xml:space="preserve">  Shrink / waste</t>
  </si>
  <si>
    <t>Total opex</t>
  </si>
  <si>
    <t>Debt service &amp; coverage</t>
  </si>
  <si>
    <t xml:space="preserve">  Term debt service (P+I)</t>
  </si>
  <si>
    <t xml:space="preserve">  LoC interest</t>
  </si>
  <si>
    <t>Total debt service</t>
  </si>
  <si>
    <t>DSCR (EBITDA / debt service)</t>
  </si>
  <si>
    <t>Working Capital &amp; Cash Conversion Cycle</t>
  </si>
  <si>
    <t>Working capital balances (period-end)</t>
  </si>
  <si>
    <t>Inventory (DIO * COGS / 365)</t>
  </si>
  <si>
    <t>Accounts payable (DPO * COGS / 365)</t>
  </si>
  <si>
    <t>Accounts receivable (DSO * revenue / 365)</t>
  </si>
  <si>
    <t>Net working capital</t>
  </si>
  <si>
    <t>Cash conversion cycle (DIO + DSO - DPO), days</t>
  </si>
  <si>
    <t>Change in NWC (cash impact)</t>
  </si>
  <si>
    <t>Reserve and liquidity coverage</t>
  </si>
  <si>
    <t>Operating reserve at close</t>
  </si>
  <si>
    <t xml:space="preserve">  Months of opex covered (Y2 stabilized)</t>
  </si>
  <si>
    <t>LoC facility size</t>
  </si>
  <si>
    <t xml:space="preserve">  Days of COGS covered by LoC</t>
  </si>
  <si>
    <t>Debt Schedule &amp; Coverage</t>
  </si>
  <si>
    <t>Term debt — opening balance</t>
  </si>
  <si>
    <t xml:space="preserve">  Annual debt service (P+I)</t>
  </si>
  <si>
    <t xml:space="preserve">  Of which: interest</t>
  </si>
  <si>
    <t>Term debt — ending balance</t>
  </si>
  <si>
    <t>Coverage ratios</t>
  </si>
  <si>
    <t>EBITDA (base case)</t>
  </si>
  <si>
    <t>DSCR — base case</t>
  </si>
  <si>
    <t>DSCR — downside case</t>
  </si>
  <si>
    <t>DSCR — stress case</t>
  </si>
  <si>
    <t>DSCR target (CDFI standard)</t>
  </si>
  <si>
    <t>≥ 1.20x stabilized; 1.0x acceptable Y1 if reserves cover</t>
  </si>
  <si>
    <t>Year 2 EBITDA Sensitivity</t>
  </si>
  <si>
    <t>-20%</t>
  </si>
  <si>
    <t>-10%</t>
  </si>
  <si>
    <t>Base</t>
  </si>
  <si>
    <t>+10%</t>
  </si>
  <si>
    <t>+20%</t>
  </si>
  <si>
    <t>Revenue (variable)</t>
  </si>
  <si>
    <t>Gross margin (variable, ±3 pts)</t>
  </si>
  <si>
    <t>Labor as % of revenue (variable, ±2 pts)</t>
  </si>
  <si>
    <t>Two-way sensitivity: Revenue x Gross Margin</t>
  </si>
  <si>
    <t>Y2 EBITDA</t>
  </si>
  <si>
    <t>GM 26%</t>
  </si>
  <si>
    <t>GM 30%</t>
  </si>
  <si>
    <t>GM 34% (base)</t>
  </si>
  <si>
    <t>GM 38%</t>
  </si>
  <si>
    <t>GM 42%</t>
  </si>
  <si>
    <t>Rev -20%</t>
  </si>
  <si>
    <t>Rev -10%</t>
  </si>
  <si>
    <t>Rev base</t>
  </si>
  <si>
    <t>Rev +10%</t>
  </si>
  <si>
    <t>Rev +20%</t>
  </si>
  <si>
    <t>Tranche 2 release gate</t>
  </si>
  <si>
    <t>Threshold (end of M3)</t>
  </si>
  <si>
    <t>Verification method</t>
  </si>
  <si>
    <t>Why Steans cares</t>
  </si>
  <si>
    <t>Active produce-box subscribers</t>
  </si>
  <si>
    <t>100+ weekly subs</t>
  </si>
  <si>
    <t>Subscription management system export</t>
  </si>
  <si>
    <t>Demand validation, repeatable revenue, not survey-based intent</t>
  </si>
  <si>
    <t>Monthly revenue run-rate</t>
  </si>
  <si>
    <t>$15K - $25K / month</t>
  </si>
  <si>
    <t>Stripe / payment processor</t>
  </si>
  <si>
    <t>Operational viability; matches CDFI underwriting Year 1 ramp benchmark</t>
  </si>
  <si>
    <t>Local hires made</t>
  </si>
  <si>
    <t>5 - 7 NLW residents at $16+/hr</t>
  </si>
  <si>
    <t>Payroll records + zip code attestation</t>
  </si>
  <si>
    <t>Confirms workforce-development thesis; tied to grant deliverable</t>
  </si>
  <si>
    <t>EBT acceptance live</t>
  </si>
  <si>
    <t>Live by Month 2</t>
  </si>
  <si>
    <t>USDA SNAP retailer authorization letter</t>
  </si>
  <si>
    <t>Confirms Steans-priority access mechanism; required for low-income trade area</t>
  </si>
  <si>
    <t>Pembroke supply contracts</t>
  </si>
  <si>
    <t>Signed with 3+ farms</t>
  </si>
  <si>
    <t>Executed supply agreements</t>
  </si>
  <si>
    <t>Supply chain executable, not aspirational; differentiator from Yellow Banana</t>
  </si>
  <si>
    <t>Variance to budget</t>
  </si>
  <si>
    <t>Within 10% of plan</t>
  </si>
  <si>
    <t>Monthly P&amp;L vs budget reconciliation</t>
  </si>
  <si>
    <t>Operator financial discipline</t>
  </si>
  <si>
    <t>Vendor terms earned</t>
  </si>
  <si>
    <t>Net 14 from 3+ DSD vendors</t>
  </si>
  <si>
    <t>Vendor account statements</t>
  </si>
  <si>
    <t>Working capital trajectory improving; reduces reliance on LoC</t>
  </si>
  <si>
    <t>Tranche 2 release decision matrix</t>
  </si>
  <si>
    <t>If 7 of 7 gates pass:</t>
  </si>
  <si>
    <t>Full Tranche 2 release ($500K)</t>
  </si>
  <si>
    <t>If 5-6 of 7 gates pass:</t>
  </si>
  <si>
    <t>Conditional release with 30-day cure period for missed gates</t>
  </si>
  <si>
    <t>If &lt;5 gates pass:</t>
  </si>
  <si>
    <t>Tranche 2 deferred; operator and funder reassess plan</t>
  </si>
  <si>
    <t>Steans Impact Metric</t>
  </si>
  <si>
    <t>WORKFORCE</t>
  </si>
  <si>
    <t xml:space="preserve">  FTE — total</t>
  </si>
  <si>
    <t xml:space="preserve">  % hires from NLW zip codes (target)</t>
  </si>
  <si>
    <t xml:space="preserve">  Hourly wage floor</t>
  </si>
  <si>
    <t xml:space="preserve">  Total annual payroll (NLW residents)</t>
  </si>
  <si>
    <t>FOOD ACCESS</t>
  </si>
  <si>
    <t xml:space="preserve">  Households served / month (subs + retail)</t>
  </si>
  <si>
    <t xml:space="preserve">  SNAP/EBT as % of retail sales (target)</t>
  </si>
  <si>
    <t xml:space="preserve">  USDA Low Access tract: site at 17031843300</t>
  </si>
  <si>
    <t>LILA designated</t>
  </si>
  <si>
    <t>SUPPLIER NETWORK</t>
  </si>
  <si>
    <t xml:space="preserve">  Pembroke direct procurement ($)</t>
  </si>
  <si>
    <t xml:space="preserve">  Black-owned vendor procurement ($)</t>
  </si>
  <si>
    <t>LEVERAGE</t>
  </si>
  <si>
    <t xml:space="preserve">  Steans capital deployed (cumulative)</t>
  </si>
  <si>
    <t xml:space="preserve">  Total capital deployed (with LoC drawn)</t>
  </si>
  <si>
    <t xml:space="preserve">  Cumulative revenue generated</t>
  </si>
  <si>
    <t xml:space="preserve">  Revenue per dollar of Steans capital (cumulative)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</si>
</sst>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;[Red]\(&quot;$&quot;#,##0\)"/>
    <numFmt numFmtId="165" formatCode="&quot;$&quot;0.00"/>
    <numFmt numFmtId="166" formatCode="0.0%"/>
    <numFmt numFmtId="167" formatCode="0.00&quot;x&quot;"/>
    <numFmt numFmtId="168" formatCode="0&quot; days&quot;"/>
    <numFmt numFmtId="169" formatCode="0.0&quot; months&quot;"/>
    <numFmt numFmtId="170" formatCode="0.0&quot; FTE&quot;"/>
    <numFmt numFmtId="171" formatCode="&quot;$&quot;0.00&quot;/hr&quot;"/>
  </numFmts>
  <fonts count="14" x14ac:knownFonts="1">
    <font>
      <sz val="11"/>
      <color theme="1"/>
      <name val="Calibri"/>
      <family val="2"/>
      <scheme val="minor"/>
    </font>
    <font>
      <b/>
      <sz val="18"/>
      <color rgb="FF1F4E2C"/>
      <name val="Calibri"/>
    </font>
    <font>
      <b/>
      <sz val="13"/>
      <color rgb="FF555555"/>
      <name val="Calibri"/>
    </font>
    <font>
      <i/>
      <sz val="10"/>
      <color rgb="FF555555"/>
      <name val="Calibri"/>
    </font>
    <font>
      <sz val="11"/>
      <name val="Calibri"/>
    </font>
    <font>
      <b/>
      <sz val="12"/>
      <color rgb="FF1F4E2C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1"/>
      <color rgb="FF0000CC"/>
      <name val="Calibri"/>
    </font>
    <font>
      <i/>
      <sz val="10"/>
      <color rgb="FF666666"/>
      <name val="Calibri"/>
    </font>
    <font>
      <b/>
      <sz val="11"/>
      <color rgb="FF000000"/>
      <name val="Calibri"/>
    </font>
    <font>
      <sz val="11"/>
      <color rgb="FF006600"/>
      <name val="Calibri"/>
    </font>
    <font>
      <i/>
      <sz val="11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5E3DC"/>
      </patternFill>
    </fill>
    <fill>
      <patternFill patternType="solid">
        <fgColor rgb="FF1F4E2C"/>
      </patternFill>
    </fill>
    <fill>
      <patternFill patternType="solid">
        <fgColor rgb="FFE8E5C8"/>
      </patternFill>
    </fill>
    <fill>
      <patternFill patternType="solid">
        <fgColor rgb="FFA04040"/>
      </patternFill>
    </fill>
    <fill>
      <patternFill patternType="solid">
        <fgColor rgb="FF6B202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0" fillId="2" borderId="0" xfId="0" applyFill="1"/>
    <xf numFmtId="0" fontId="8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11" fillId="4" borderId="1" xfId="0" applyFont="1" applyFill="1" applyBorder="1"/>
    <xf numFmtId="164" fontId="11" fillId="4" borderId="1" xfId="0" applyNumberFormat="1" applyFont="1" applyFill="1" applyBorder="1" applyAlignment="1">
      <alignment horizontal="right" vertical="center"/>
    </xf>
    <xf numFmtId="0" fontId="11" fillId="0" borderId="0" xfId="0" applyFont="1"/>
    <xf numFmtId="164" fontId="11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11" fillId="4" borderId="1" xfId="0" applyFont="1" applyFill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right" vertical="center"/>
    </xf>
    <xf numFmtId="167" fontId="11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168" fontId="11" fillId="4" borderId="1" xfId="0" applyNumberFormat="1" applyFont="1" applyFill="1" applyBorder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170" fontId="8" fillId="0" borderId="0" xfId="0" applyNumberFormat="1" applyFont="1" applyAlignment="1">
      <alignment horizontal="right" vertical="center"/>
    </xf>
    <xf numFmtId="9" fontId="8" fillId="0" borderId="0" xfId="0" applyNumberFormat="1" applyFont="1" applyAlignment="1">
      <alignment horizontal="right" vertical="center"/>
    </xf>
    <xf numFmtId="171" fontId="8" fillId="0" borderId="0" xfId="0" applyNumberFormat="1" applyFont="1" applyAlignment="1">
      <alignment horizontal="right" vertical="center"/>
    </xf>
    <xf numFmtId="0" fontId="6" fillId="6" borderId="0" xfId="0" applyFont="1" applyFill="1" applyAlignment="1">
      <alignment horizontal="center" vertical="center" wrapText="1"/>
    </xf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2C"/>
  </sheetPr>
  <dimension ref="B1:B45"/>
  <sheetViews>
    <sheetView topLeftCell="A18" workbookViewId="0"/>
  </sheetViews>
  <sheetFormatPr defaultRowHeight="14.4" x14ac:dyDescent="0.3"/>
  <cols>
    <col min="1" max="1" width="2" customWidth="1"/>
    <col min="2" max="2" width="110" customWidth="1"/>
  </cols>
  <sheetData>
    <row r="1" spans="2:2" ht="23.4" x14ac:dyDescent="0.45">
      <c r="B1" s="1" t="s">
        <v>0</v>
      </c>
    </row>
    <row r="2" spans="2:2" ht="17.399999999999999" x14ac:dyDescent="0.35">
      <c r="B2" s="2" t="s">
        <v>1</v>
      </c>
    </row>
    <row r="3" spans="2:2" x14ac:dyDescent="0.3">
      <c r="B3" s="3" t="s">
        <v>2</v>
      </c>
    </row>
    <row r="4" spans="2:2" x14ac:dyDescent="0.3">
      <c r="B4" s="3" t="s">
        <v>3</v>
      </c>
    </row>
    <row r="5" spans="2:2" x14ac:dyDescent="0.3">
      <c r="B5" s="4"/>
    </row>
    <row r="6" spans="2:2" ht="15.6" x14ac:dyDescent="0.3">
      <c r="B6" s="5" t="s">
        <v>4</v>
      </c>
    </row>
    <row r="7" spans="2:2" x14ac:dyDescent="0.3">
      <c r="B7" s="4" t="s">
        <v>5</v>
      </c>
    </row>
    <row r="8" spans="2:2" x14ac:dyDescent="0.3">
      <c r="B8" s="4" t="s">
        <v>6</v>
      </c>
    </row>
    <row r="9" spans="2:2" x14ac:dyDescent="0.3">
      <c r="B9" s="4" t="s">
        <v>7</v>
      </c>
    </row>
    <row r="10" spans="2:2" x14ac:dyDescent="0.3">
      <c r="B10" s="4" t="s">
        <v>8</v>
      </c>
    </row>
    <row r="11" spans="2:2" x14ac:dyDescent="0.3">
      <c r="B11" s="4"/>
    </row>
    <row r="12" spans="2:2" ht="15.6" x14ac:dyDescent="0.3">
      <c r="B12" s="5" t="s">
        <v>9</v>
      </c>
    </row>
    <row r="13" spans="2:2" x14ac:dyDescent="0.3">
      <c r="B13" s="4" t="s">
        <v>10</v>
      </c>
    </row>
    <row r="14" spans="2:2" x14ac:dyDescent="0.3">
      <c r="B14" s="4" t="s">
        <v>11</v>
      </c>
    </row>
    <row r="15" spans="2:2" x14ac:dyDescent="0.3">
      <c r="B15" s="4" t="s">
        <v>12</v>
      </c>
    </row>
    <row r="16" spans="2:2" x14ac:dyDescent="0.3">
      <c r="B16" s="4" t="s">
        <v>13</v>
      </c>
    </row>
    <row r="17" spans="2:2" x14ac:dyDescent="0.3">
      <c r="B17" s="4"/>
    </row>
    <row r="18" spans="2:2" ht="15.6" x14ac:dyDescent="0.3">
      <c r="B18" s="5" t="s">
        <v>14</v>
      </c>
    </row>
    <row r="19" spans="2:2" x14ac:dyDescent="0.3">
      <c r="B19" s="4" t="s">
        <v>15</v>
      </c>
    </row>
    <row r="20" spans="2:2" x14ac:dyDescent="0.3">
      <c r="B20" s="4" t="s">
        <v>16</v>
      </c>
    </row>
    <row r="21" spans="2:2" x14ac:dyDescent="0.3">
      <c r="B21" s="4" t="s">
        <v>17</v>
      </c>
    </row>
    <row r="22" spans="2:2" x14ac:dyDescent="0.3">
      <c r="B22" s="4" t="s">
        <v>18</v>
      </c>
    </row>
    <row r="23" spans="2:2" x14ac:dyDescent="0.3">
      <c r="B23" s="4" t="s">
        <v>19</v>
      </c>
    </row>
    <row r="24" spans="2:2" x14ac:dyDescent="0.3">
      <c r="B24" s="4" t="s">
        <v>20</v>
      </c>
    </row>
    <row r="25" spans="2:2" x14ac:dyDescent="0.3">
      <c r="B25" s="4" t="s">
        <v>21</v>
      </c>
    </row>
    <row r="26" spans="2:2" x14ac:dyDescent="0.3">
      <c r="B26" s="4" t="s">
        <v>22</v>
      </c>
    </row>
    <row r="27" spans="2:2" x14ac:dyDescent="0.3">
      <c r="B27" s="4" t="s">
        <v>23</v>
      </c>
    </row>
    <row r="28" spans="2:2" x14ac:dyDescent="0.3">
      <c r="B28" s="4" t="s">
        <v>24</v>
      </c>
    </row>
    <row r="29" spans="2:2" x14ac:dyDescent="0.3">
      <c r="B29" s="4" t="s">
        <v>25</v>
      </c>
    </row>
    <row r="30" spans="2:2" x14ac:dyDescent="0.3">
      <c r="B30" s="4"/>
    </row>
    <row r="31" spans="2:2" ht="15.6" x14ac:dyDescent="0.3">
      <c r="B31" s="5" t="s">
        <v>26</v>
      </c>
    </row>
    <row r="32" spans="2:2" x14ac:dyDescent="0.3">
      <c r="B32" s="4" t="s">
        <v>27</v>
      </c>
    </row>
    <row r="33" spans="2:2" x14ac:dyDescent="0.3">
      <c r="B33" s="4" t="s">
        <v>28</v>
      </c>
    </row>
    <row r="34" spans="2:2" x14ac:dyDescent="0.3">
      <c r="B34" s="4" t="s">
        <v>29</v>
      </c>
    </row>
    <row r="35" spans="2:2" x14ac:dyDescent="0.3">
      <c r="B35" s="4" t="s">
        <v>30</v>
      </c>
    </row>
    <row r="36" spans="2:2" x14ac:dyDescent="0.3">
      <c r="B36" s="4"/>
    </row>
    <row r="37" spans="2:2" x14ac:dyDescent="0.3">
      <c r="B37" s="4" t="s">
        <v>31</v>
      </c>
    </row>
    <row r="38" spans="2:2" x14ac:dyDescent="0.3">
      <c r="B38" s="4" t="s">
        <v>32</v>
      </c>
    </row>
    <row r="39" spans="2:2" x14ac:dyDescent="0.3">
      <c r="B39" s="4" t="s">
        <v>33</v>
      </c>
    </row>
    <row r="40" spans="2:2" x14ac:dyDescent="0.3">
      <c r="B40" s="4" t="s">
        <v>34</v>
      </c>
    </row>
    <row r="41" spans="2:2" x14ac:dyDescent="0.3">
      <c r="B41" s="4"/>
    </row>
    <row r="42" spans="2:2" ht="15.6" x14ac:dyDescent="0.3">
      <c r="B42" s="5" t="s">
        <v>35</v>
      </c>
    </row>
    <row r="43" spans="2:2" x14ac:dyDescent="0.3">
      <c r="B43" s="4" t="s">
        <v>36</v>
      </c>
    </row>
    <row r="44" spans="2:2" x14ac:dyDescent="0.3">
      <c r="B44" s="4" t="s">
        <v>37</v>
      </c>
    </row>
    <row r="45" spans="2:2" x14ac:dyDescent="0.3">
      <c r="B45" s="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2C"/>
  </sheetPr>
  <dimension ref="A1:D99"/>
  <sheetViews>
    <sheetView workbookViewId="0">
      <pane ySplit="1" topLeftCell="A78" activePane="bottomLeft" state="frozen"/>
      <selection pane="bottomLeft" activeCell="C101" sqref="C101"/>
    </sheetView>
  </sheetViews>
  <sheetFormatPr defaultRowHeight="14.4" x14ac:dyDescent="0.3"/>
  <cols>
    <col min="1" max="1" width="42" customWidth="1"/>
    <col min="2" max="3" width="18" customWidth="1"/>
    <col min="4" max="4" width="60" customWidth="1"/>
  </cols>
  <sheetData>
    <row r="1" spans="1:4" ht="30" customHeight="1" x14ac:dyDescent="0.3">
      <c r="A1" s="6" t="s">
        <v>39</v>
      </c>
      <c r="B1" s="6" t="s">
        <v>40</v>
      </c>
      <c r="C1" s="6" t="s">
        <v>41</v>
      </c>
      <c r="D1" s="6" t="s">
        <v>42</v>
      </c>
    </row>
    <row r="2" spans="1:4" ht="22.05" customHeight="1" x14ac:dyDescent="0.3">
      <c r="A2" s="7" t="s">
        <v>43</v>
      </c>
      <c r="B2" s="8"/>
      <c r="C2" s="8"/>
      <c r="D2" s="8"/>
    </row>
    <row r="3" spans="1:4" x14ac:dyDescent="0.3">
      <c r="A3" s="9" t="s">
        <v>44</v>
      </c>
      <c r="B3" s="10">
        <v>3000</v>
      </c>
      <c r="C3" s="11" t="s">
        <v>45</v>
      </c>
      <c r="D3" s="11" t="s">
        <v>46</v>
      </c>
    </row>
    <row r="4" spans="1:4" x14ac:dyDescent="0.3">
      <c r="A4" s="9" t="s">
        <v>47</v>
      </c>
      <c r="B4" s="12">
        <v>0</v>
      </c>
      <c r="C4" s="11" t="s">
        <v>48</v>
      </c>
      <c r="D4" s="11" t="s">
        <v>49</v>
      </c>
    </row>
    <row r="5" spans="1:4" x14ac:dyDescent="0.3">
      <c r="A5" s="9" t="s">
        <v>50</v>
      </c>
      <c r="B5" s="13">
        <v>1</v>
      </c>
      <c r="C5" s="11" t="s">
        <v>51</v>
      </c>
      <c r="D5" s="11" t="s">
        <v>52</v>
      </c>
    </row>
    <row r="6" spans="1:4" x14ac:dyDescent="0.3">
      <c r="A6" s="9" t="s">
        <v>53</v>
      </c>
      <c r="B6" s="13">
        <v>18</v>
      </c>
      <c r="C6" s="11" t="s">
        <v>51</v>
      </c>
      <c r="D6" s="11" t="s">
        <v>54</v>
      </c>
    </row>
    <row r="7" spans="1:4" x14ac:dyDescent="0.3">
      <c r="A7" s="9" t="s">
        <v>55</v>
      </c>
      <c r="B7" s="10">
        <v>7</v>
      </c>
      <c r="C7" s="11" t="s">
        <v>56</v>
      </c>
      <c r="D7" s="11" t="s">
        <v>57</v>
      </c>
    </row>
    <row r="8" spans="1:4" ht="22.05" customHeight="1" x14ac:dyDescent="0.3">
      <c r="A8" s="7" t="s">
        <v>58</v>
      </c>
      <c r="B8" s="8"/>
      <c r="C8" s="8"/>
      <c r="D8" s="8"/>
    </row>
    <row r="9" spans="1:4" x14ac:dyDescent="0.3">
      <c r="A9" s="9" t="s">
        <v>59</v>
      </c>
      <c r="B9" s="12">
        <v>50</v>
      </c>
      <c r="C9" s="11" t="s">
        <v>60</v>
      </c>
      <c r="D9" s="11" t="s">
        <v>61</v>
      </c>
    </row>
    <row r="10" spans="1:4" x14ac:dyDescent="0.3">
      <c r="A10" s="9" t="s">
        <v>62</v>
      </c>
      <c r="B10" s="14">
        <v>0.25</v>
      </c>
      <c r="C10" s="11" t="s">
        <v>63</v>
      </c>
      <c r="D10" s="11" t="s">
        <v>64</v>
      </c>
    </row>
    <row r="11" spans="1:4" x14ac:dyDescent="0.3">
      <c r="A11" s="9" t="s">
        <v>65</v>
      </c>
      <c r="B11" s="10">
        <v>4</v>
      </c>
      <c r="C11" s="11" t="s">
        <v>66</v>
      </c>
      <c r="D11" s="11" t="s">
        <v>67</v>
      </c>
    </row>
    <row r="12" spans="1:4" x14ac:dyDescent="0.3">
      <c r="A12" s="9" t="s">
        <v>68</v>
      </c>
      <c r="B12" s="12">
        <v>4.5</v>
      </c>
      <c r="C12" s="11" t="s">
        <v>60</v>
      </c>
      <c r="D12" s="11" t="s">
        <v>69</v>
      </c>
    </row>
    <row r="13" spans="1:4" x14ac:dyDescent="0.3">
      <c r="A13" s="9" t="s">
        <v>70</v>
      </c>
      <c r="B13" s="14">
        <v>0.3</v>
      </c>
      <c r="C13" s="11" t="s">
        <v>63</v>
      </c>
      <c r="D13" s="11" t="s">
        <v>71</v>
      </c>
    </row>
    <row r="14" spans="1:4" x14ac:dyDescent="0.3">
      <c r="A14" s="9" t="s">
        <v>72</v>
      </c>
      <c r="B14" s="14">
        <v>0.05</v>
      </c>
      <c r="C14" s="11" t="s">
        <v>63</v>
      </c>
      <c r="D14" s="11" t="s">
        <v>73</v>
      </c>
    </row>
    <row r="15" spans="1:4" x14ac:dyDescent="0.3">
      <c r="A15" s="9" t="s">
        <v>74</v>
      </c>
      <c r="B15" s="10">
        <v>25</v>
      </c>
      <c r="C15" s="11" t="s">
        <v>75</v>
      </c>
      <c r="D15" s="11" t="s">
        <v>76</v>
      </c>
    </row>
    <row r="16" spans="1:4" x14ac:dyDescent="0.3">
      <c r="A16" s="9" t="s">
        <v>77</v>
      </c>
      <c r="B16" s="10">
        <v>35</v>
      </c>
      <c r="C16" s="11" t="s">
        <v>75</v>
      </c>
      <c r="D16" s="11" t="s">
        <v>78</v>
      </c>
    </row>
    <row r="17" spans="1:4" x14ac:dyDescent="0.3">
      <c r="A17" s="9" t="s">
        <v>79</v>
      </c>
      <c r="B17" s="10">
        <v>45</v>
      </c>
      <c r="C17" s="11" t="s">
        <v>75</v>
      </c>
      <c r="D17" s="11" t="s">
        <v>80</v>
      </c>
    </row>
    <row r="18" spans="1:4" x14ac:dyDescent="0.3">
      <c r="A18" s="9" t="s">
        <v>81</v>
      </c>
      <c r="B18" s="10">
        <v>45</v>
      </c>
      <c r="C18" s="11" t="s">
        <v>75</v>
      </c>
    </row>
    <row r="19" spans="1:4" x14ac:dyDescent="0.3">
      <c r="A19" s="9" t="s">
        <v>82</v>
      </c>
      <c r="B19" s="10">
        <v>45</v>
      </c>
      <c r="C19" s="11" t="s">
        <v>75</v>
      </c>
    </row>
    <row r="20" spans="1:4" x14ac:dyDescent="0.3">
      <c r="A20" s="9" t="s">
        <v>83</v>
      </c>
      <c r="B20" s="10">
        <v>45</v>
      </c>
      <c r="C20" s="11" t="s">
        <v>75</v>
      </c>
    </row>
    <row r="21" spans="1:4" x14ac:dyDescent="0.3">
      <c r="A21" s="9" t="s">
        <v>84</v>
      </c>
      <c r="B21" s="10">
        <v>40</v>
      </c>
      <c r="C21" s="11" t="s">
        <v>75</v>
      </c>
      <c r="D21" s="11" t="s">
        <v>85</v>
      </c>
    </row>
    <row r="22" spans="1:4" x14ac:dyDescent="0.3">
      <c r="A22" s="9" t="s">
        <v>86</v>
      </c>
      <c r="B22" s="10">
        <v>35</v>
      </c>
      <c r="C22" s="11" t="s">
        <v>75</v>
      </c>
    </row>
    <row r="23" spans="1:4" x14ac:dyDescent="0.3">
      <c r="A23" s="9" t="s">
        <v>87</v>
      </c>
      <c r="B23" s="10">
        <v>30</v>
      </c>
      <c r="C23" s="11" t="s">
        <v>75</v>
      </c>
    </row>
    <row r="24" spans="1:4" x14ac:dyDescent="0.3">
      <c r="A24" s="9" t="s">
        <v>88</v>
      </c>
      <c r="B24" s="10">
        <v>25</v>
      </c>
      <c r="C24" s="11" t="s">
        <v>75</v>
      </c>
    </row>
    <row r="25" spans="1:4" x14ac:dyDescent="0.3">
      <c r="A25" s="9" t="s">
        <v>89</v>
      </c>
      <c r="B25" s="10">
        <v>25</v>
      </c>
      <c r="C25" s="11" t="s">
        <v>75</v>
      </c>
    </row>
    <row r="26" spans="1:4" x14ac:dyDescent="0.3">
      <c r="A26" s="9" t="s">
        <v>90</v>
      </c>
      <c r="B26" s="10">
        <v>25</v>
      </c>
      <c r="C26" s="11" t="s">
        <v>75</v>
      </c>
      <c r="D26" s="11" t="s">
        <v>91</v>
      </c>
    </row>
    <row r="27" spans="1:4" ht="22.05" customHeight="1" x14ac:dyDescent="0.3">
      <c r="A27" s="7" t="s">
        <v>92</v>
      </c>
      <c r="B27" s="8"/>
      <c r="C27" s="8"/>
      <c r="D27" s="8"/>
    </row>
    <row r="28" spans="1:4" x14ac:dyDescent="0.3">
      <c r="A28" s="9" t="s">
        <v>93</v>
      </c>
      <c r="B28" s="12">
        <v>40000</v>
      </c>
      <c r="C28" s="11" t="s">
        <v>48</v>
      </c>
      <c r="D28" s="11" t="s">
        <v>94</v>
      </c>
    </row>
    <row r="29" spans="1:4" x14ac:dyDescent="0.3">
      <c r="A29" s="9" t="s">
        <v>95</v>
      </c>
      <c r="B29" s="12">
        <v>55000</v>
      </c>
      <c r="C29" s="11" t="s">
        <v>48</v>
      </c>
    </row>
    <row r="30" spans="1:4" x14ac:dyDescent="0.3">
      <c r="A30" s="9" t="s">
        <v>96</v>
      </c>
      <c r="B30" s="12">
        <v>70000</v>
      </c>
      <c r="C30" s="11" t="s">
        <v>48</v>
      </c>
    </row>
    <row r="31" spans="1:4" x14ac:dyDescent="0.3">
      <c r="A31" s="9" t="s">
        <v>97</v>
      </c>
      <c r="B31" s="12">
        <v>80000</v>
      </c>
      <c r="C31" s="11" t="s">
        <v>48</v>
      </c>
    </row>
    <row r="32" spans="1:4" x14ac:dyDescent="0.3">
      <c r="A32" s="9" t="s">
        <v>98</v>
      </c>
      <c r="B32" s="12">
        <v>85000</v>
      </c>
      <c r="C32" s="11" t="s">
        <v>48</v>
      </c>
    </row>
    <row r="33" spans="1:4" x14ac:dyDescent="0.3">
      <c r="A33" s="9" t="s">
        <v>99</v>
      </c>
      <c r="B33" s="12">
        <v>90000</v>
      </c>
      <c r="C33" s="11" t="s">
        <v>48</v>
      </c>
      <c r="D33" s="11" t="s">
        <v>100</v>
      </c>
    </row>
    <row r="34" spans="1:4" x14ac:dyDescent="0.3">
      <c r="A34" s="9" t="s">
        <v>101</v>
      </c>
      <c r="B34" s="14">
        <v>0.3</v>
      </c>
      <c r="C34" s="11" t="s">
        <v>63</v>
      </c>
      <c r="D34" s="11" t="s">
        <v>102</v>
      </c>
    </row>
    <row r="35" spans="1:4" x14ac:dyDescent="0.3">
      <c r="A35" s="9" t="s">
        <v>103</v>
      </c>
      <c r="B35" s="14">
        <v>0.26</v>
      </c>
      <c r="C35" s="11" t="s">
        <v>63</v>
      </c>
      <c r="D35" s="11" t="s">
        <v>104</v>
      </c>
    </row>
    <row r="36" spans="1:4" x14ac:dyDescent="0.3">
      <c r="A36" s="9" t="s">
        <v>105</v>
      </c>
      <c r="B36" s="14">
        <v>0.18</v>
      </c>
      <c r="C36" s="11" t="s">
        <v>63</v>
      </c>
      <c r="D36" s="11" t="s">
        <v>106</v>
      </c>
    </row>
    <row r="37" spans="1:4" x14ac:dyDescent="0.3">
      <c r="A37" s="9" t="s">
        <v>107</v>
      </c>
      <c r="B37" s="14">
        <v>0.42</v>
      </c>
      <c r="C37" s="11" t="s">
        <v>63</v>
      </c>
      <c r="D37" s="11" t="s">
        <v>108</v>
      </c>
    </row>
    <row r="38" spans="1:4" x14ac:dyDescent="0.3">
      <c r="A38" s="9" t="s">
        <v>109</v>
      </c>
      <c r="B38" s="14">
        <v>0.08</v>
      </c>
      <c r="C38" s="11" t="s">
        <v>63</v>
      </c>
    </row>
    <row r="39" spans="1:4" x14ac:dyDescent="0.3">
      <c r="A39" s="9" t="s">
        <v>110</v>
      </c>
      <c r="B39" s="14">
        <v>0.3</v>
      </c>
      <c r="C39" s="11" t="s">
        <v>63</v>
      </c>
    </row>
    <row r="40" spans="1:4" x14ac:dyDescent="0.3">
      <c r="A40" s="9" t="s">
        <v>111</v>
      </c>
      <c r="B40" s="14">
        <v>0.08</v>
      </c>
      <c r="C40" s="11" t="s">
        <v>63</v>
      </c>
    </row>
    <row r="41" spans="1:4" x14ac:dyDescent="0.3">
      <c r="A41" s="9" t="s">
        <v>112</v>
      </c>
      <c r="B41" s="14">
        <v>0.3</v>
      </c>
      <c r="C41" s="11" t="s">
        <v>63</v>
      </c>
    </row>
    <row r="42" spans="1:4" x14ac:dyDescent="0.3">
      <c r="A42" s="9" t="s">
        <v>113</v>
      </c>
      <c r="B42" s="14">
        <v>0.06</v>
      </c>
      <c r="C42" s="11" t="s">
        <v>63</v>
      </c>
    </row>
    <row r="43" spans="1:4" x14ac:dyDescent="0.3">
      <c r="A43" s="9" t="s">
        <v>114</v>
      </c>
      <c r="B43" s="14">
        <v>0.3</v>
      </c>
      <c r="C43" s="11" t="s">
        <v>63</v>
      </c>
    </row>
    <row r="44" spans="1:4" x14ac:dyDescent="0.3">
      <c r="A44" s="9" t="s">
        <v>115</v>
      </c>
      <c r="B44" s="14">
        <v>0.2</v>
      </c>
      <c r="C44" s="11" t="s">
        <v>63</v>
      </c>
      <c r="D44" s="11" t="s">
        <v>116</v>
      </c>
    </row>
    <row r="45" spans="1:4" x14ac:dyDescent="0.3">
      <c r="A45" s="9" t="s">
        <v>117</v>
      </c>
      <c r="B45" s="14">
        <v>0.5</v>
      </c>
      <c r="C45" s="11" t="s">
        <v>63</v>
      </c>
      <c r="D45" s="11" t="s">
        <v>118</v>
      </c>
    </row>
    <row r="46" spans="1:4" x14ac:dyDescent="0.3">
      <c r="A46" s="9" t="s">
        <v>119</v>
      </c>
      <c r="B46" s="14">
        <v>0.05</v>
      </c>
      <c r="C46" s="11" t="s">
        <v>63</v>
      </c>
    </row>
    <row r="47" spans="1:4" x14ac:dyDescent="0.3">
      <c r="A47" s="9" t="s">
        <v>120</v>
      </c>
      <c r="B47" s="14">
        <v>0.38</v>
      </c>
      <c r="C47" s="11" t="s">
        <v>63</v>
      </c>
    </row>
    <row r="48" spans="1:4" x14ac:dyDescent="0.3">
      <c r="A48" s="9" t="s">
        <v>121</v>
      </c>
      <c r="B48" s="14">
        <v>0.05</v>
      </c>
      <c r="C48" s="11" t="s">
        <v>63</v>
      </c>
      <c r="D48" s="11" t="s">
        <v>122</v>
      </c>
    </row>
    <row r="49" spans="1:4" x14ac:dyDescent="0.3">
      <c r="A49" s="9" t="s">
        <v>123</v>
      </c>
      <c r="B49" s="14">
        <v>0.45</v>
      </c>
      <c r="C49" s="11" t="s">
        <v>63</v>
      </c>
    </row>
    <row r="50" spans="1:4" x14ac:dyDescent="0.3">
      <c r="A50" s="9" t="s">
        <v>124</v>
      </c>
      <c r="B50" s="14">
        <v>0.2</v>
      </c>
      <c r="C50" s="11" t="s">
        <v>63</v>
      </c>
      <c r="D50" s="11" t="s">
        <v>125</v>
      </c>
    </row>
    <row r="51" spans="1:4" x14ac:dyDescent="0.3">
      <c r="A51" s="9" t="s">
        <v>126</v>
      </c>
      <c r="B51" s="14">
        <v>0.15</v>
      </c>
      <c r="C51" s="11" t="s">
        <v>63</v>
      </c>
      <c r="D51" s="11" t="s">
        <v>127</v>
      </c>
    </row>
    <row r="52" spans="1:4" x14ac:dyDescent="0.3">
      <c r="A52" s="9" t="s">
        <v>128</v>
      </c>
      <c r="B52" s="14">
        <v>0.08</v>
      </c>
      <c r="C52" s="11" t="s">
        <v>63</v>
      </c>
    </row>
    <row r="53" spans="1:4" x14ac:dyDescent="0.3">
      <c r="A53" s="9" t="s">
        <v>129</v>
      </c>
      <c r="B53" s="14">
        <v>0.05</v>
      </c>
      <c r="C53" s="11" t="s">
        <v>63</v>
      </c>
      <c r="D53" s="11" t="s">
        <v>130</v>
      </c>
    </row>
    <row r="54" spans="1:4" x14ac:dyDescent="0.3">
      <c r="A54" s="9" t="s">
        <v>131</v>
      </c>
      <c r="B54" s="10">
        <v>350</v>
      </c>
      <c r="C54" s="11" t="s">
        <v>75</v>
      </c>
      <c r="D54" s="11" t="s">
        <v>132</v>
      </c>
    </row>
    <row r="55" spans="1:4" x14ac:dyDescent="0.3">
      <c r="A55" s="9" t="s">
        <v>133</v>
      </c>
      <c r="B55" s="10">
        <v>450</v>
      </c>
      <c r="C55" s="11" t="s">
        <v>75</v>
      </c>
    </row>
    <row r="56" spans="1:4" x14ac:dyDescent="0.3">
      <c r="A56" s="9" t="s">
        <v>134</v>
      </c>
      <c r="B56" s="10">
        <v>500</v>
      </c>
      <c r="C56" s="11" t="s">
        <v>75</v>
      </c>
    </row>
    <row r="57" spans="1:4" x14ac:dyDescent="0.3">
      <c r="A57" s="9" t="s">
        <v>135</v>
      </c>
      <c r="B57" s="10">
        <v>525</v>
      </c>
      <c r="C57" s="11" t="s">
        <v>75</v>
      </c>
      <c r="D57" s="11" t="s">
        <v>130</v>
      </c>
    </row>
    <row r="58" spans="1:4" ht="22.05" customHeight="1" x14ac:dyDescent="0.3">
      <c r="A58" s="7" t="s">
        <v>136</v>
      </c>
      <c r="B58" s="8"/>
      <c r="C58" s="8"/>
      <c r="D58" s="8"/>
    </row>
    <row r="59" spans="1:4" x14ac:dyDescent="0.3">
      <c r="A59" s="9" t="s">
        <v>137</v>
      </c>
      <c r="B59" s="13">
        <v>18.399999999999999</v>
      </c>
      <c r="C59" s="11" t="s">
        <v>138</v>
      </c>
      <c r="D59" s="11" t="s">
        <v>139</v>
      </c>
    </row>
    <row r="60" spans="1:4" x14ac:dyDescent="0.3">
      <c r="A60" s="9" t="s">
        <v>140</v>
      </c>
      <c r="B60" s="10">
        <v>173</v>
      </c>
      <c r="C60" s="11" t="s">
        <v>141</v>
      </c>
      <c r="D60" s="11" t="s">
        <v>142</v>
      </c>
    </row>
    <row r="61" spans="1:4" x14ac:dyDescent="0.3">
      <c r="A61" s="9" t="s">
        <v>143</v>
      </c>
      <c r="B61" s="10">
        <v>5</v>
      </c>
      <c r="C61" s="11" t="s">
        <v>144</v>
      </c>
      <c r="D61" s="11" t="s">
        <v>145</v>
      </c>
    </row>
    <row r="62" spans="1:4" x14ac:dyDescent="0.3">
      <c r="A62" s="9" t="s">
        <v>146</v>
      </c>
      <c r="B62" s="10">
        <v>6</v>
      </c>
      <c r="C62" s="11" t="s">
        <v>144</v>
      </c>
    </row>
    <row r="63" spans="1:4" x14ac:dyDescent="0.3">
      <c r="A63" s="9" t="s">
        <v>147</v>
      </c>
      <c r="B63" s="10">
        <v>8</v>
      </c>
      <c r="C63" s="11" t="s">
        <v>144</v>
      </c>
      <c r="D63" s="11" t="s">
        <v>148</v>
      </c>
    </row>
    <row r="64" spans="1:4" x14ac:dyDescent="0.3">
      <c r="A64" s="9" t="s">
        <v>149</v>
      </c>
      <c r="B64" s="10">
        <v>9</v>
      </c>
      <c r="C64" s="11" t="s">
        <v>144</v>
      </c>
    </row>
    <row r="65" spans="1:4" x14ac:dyDescent="0.3">
      <c r="A65" s="9" t="s">
        <v>150</v>
      </c>
      <c r="B65" s="15">
        <v>11</v>
      </c>
      <c r="C65" s="11" t="s">
        <v>144</v>
      </c>
      <c r="D65" s="11" t="s">
        <v>151</v>
      </c>
    </row>
    <row r="66" spans="1:4" x14ac:dyDescent="0.3">
      <c r="A66" s="9" t="s">
        <v>152</v>
      </c>
      <c r="B66" s="15">
        <v>12</v>
      </c>
      <c r="C66" s="11" t="s">
        <v>144</v>
      </c>
      <c r="D66" s="11" t="s">
        <v>151</v>
      </c>
    </row>
    <row r="67" spans="1:4" x14ac:dyDescent="0.3">
      <c r="A67" s="9" t="s">
        <v>153</v>
      </c>
      <c r="B67" s="15">
        <v>13</v>
      </c>
      <c r="C67" s="11" t="s">
        <v>144</v>
      </c>
      <c r="D67" s="11" t="s">
        <v>151</v>
      </c>
    </row>
    <row r="68" spans="1:4" x14ac:dyDescent="0.3">
      <c r="A68" s="9" t="s">
        <v>154</v>
      </c>
      <c r="B68" s="15">
        <v>14</v>
      </c>
      <c r="C68" s="11" t="s">
        <v>144</v>
      </c>
      <c r="D68" s="11" t="s">
        <v>151</v>
      </c>
    </row>
    <row r="69" spans="1:4" x14ac:dyDescent="0.3">
      <c r="A69" s="9" t="s">
        <v>155</v>
      </c>
      <c r="B69" s="12">
        <v>0</v>
      </c>
      <c r="C69" s="11" t="s">
        <v>48</v>
      </c>
      <c r="D69" s="11" t="s">
        <v>156</v>
      </c>
    </row>
    <row r="70" spans="1:4" x14ac:dyDescent="0.3">
      <c r="A70" s="9" t="s">
        <v>157</v>
      </c>
      <c r="B70" s="12">
        <v>2500</v>
      </c>
      <c r="C70" s="11" t="s">
        <v>48</v>
      </c>
      <c r="D70" s="11" t="s">
        <v>158</v>
      </c>
    </row>
    <row r="71" spans="1:4" x14ac:dyDescent="0.3">
      <c r="A71" s="9" t="s">
        <v>159</v>
      </c>
      <c r="B71" s="12">
        <v>12000</v>
      </c>
      <c r="C71" s="11" t="s">
        <v>160</v>
      </c>
      <c r="D71" s="11" t="s">
        <v>161</v>
      </c>
    </row>
    <row r="72" spans="1:4" x14ac:dyDescent="0.3">
      <c r="A72" s="9" t="s">
        <v>162</v>
      </c>
      <c r="B72" s="12">
        <v>600</v>
      </c>
      <c r="C72" s="11" t="s">
        <v>48</v>
      </c>
      <c r="D72" s="11" t="s">
        <v>163</v>
      </c>
    </row>
    <row r="73" spans="1:4" x14ac:dyDescent="0.3">
      <c r="A73" s="9" t="s">
        <v>164</v>
      </c>
      <c r="B73" s="12">
        <v>700</v>
      </c>
      <c r="C73" s="11" t="s">
        <v>48</v>
      </c>
      <c r="D73" s="11" t="s">
        <v>165</v>
      </c>
    </row>
    <row r="74" spans="1:4" x14ac:dyDescent="0.3">
      <c r="A74" s="9" t="s">
        <v>166</v>
      </c>
      <c r="B74" s="12">
        <v>2000</v>
      </c>
      <c r="C74" s="11" t="s">
        <v>48</v>
      </c>
      <c r="D74" s="11" t="s">
        <v>167</v>
      </c>
    </row>
    <row r="75" spans="1:4" x14ac:dyDescent="0.3">
      <c r="A75" s="9" t="s">
        <v>168</v>
      </c>
      <c r="B75" s="12">
        <v>1500</v>
      </c>
      <c r="C75" s="11" t="s">
        <v>48</v>
      </c>
      <c r="D75" s="11" t="s">
        <v>169</v>
      </c>
    </row>
    <row r="76" spans="1:4" x14ac:dyDescent="0.3">
      <c r="A76" s="9" t="s">
        <v>170</v>
      </c>
      <c r="B76" s="12">
        <v>800</v>
      </c>
      <c r="C76" s="11" t="s">
        <v>48</v>
      </c>
      <c r="D76" s="11" t="s">
        <v>171</v>
      </c>
    </row>
    <row r="77" spans="1:4" x14ac:dyDescent="0.3">
      <c r="A77" s="9" t="s">
        <v>172</v>
      </c>
      <c r="B77" s="14">
        <v>0.03</v>
      </c>
      <c r="C77" s="11" t="s">
        <v>63</v>
      </c>
      <c r="D77" s="11" t="s">
        <v>173</v>
      </c>
    </row>
    <row r="78" spans="1:4" ht="22.05" customHeight="1" x14ac:dyDescent="0.3">
      <c r="A78" s="7" t="s">
        <v>174</v>
      </c>
      <c r="B78" s="8"/>
      <c r="C78" s="8"/>
      <c r="D78" s="8"/>
    </row>
    <row r="79" spans="1:4" x14ac:dyDescent="0.3">
      <c r="A79" s="9" t="s">
        <v>175</v>
      </c>
      <c r="B79" s="12">
        <v>250000</v>
      </c>
      <c r="C79" s="11" t="s">
        <v>176</v>
      </c>
      <c r="D79" s="11" t="s">
        <v>177</v>
      </c>
    </row>
    <row r="80" spans="1:4" x14ac:dyDescent="0.3">
      <c r="A80" s="9" t="s">
        <v>178</v>
      </c>
      <c r="B80" s="12">
        <v>500000</v>
      </c>
      <c r="C80" s="11" t="s">
        <v>176</v>
      </c>
      <c r="D80" s="11" t="s">
        <v>179</v>
      </c>
    </row>
    <row r="81" spans="1:4" x14ac:dyDescent="0.3">
      <c r="A81" s="9" t="s">
        <v>180</v>
      </c>
      <c r="B81" s="12">
        <v>100000</v>
      </c>
      <c r="C81" s="11" t="s">
        <v>176</v>
      </c>
      <c r="D81" s="11" t="s">
        <v>181</v>
      </c>
    </row>
    <row r="82" spans="1:4" x14ac:dyDescent="0.3">
      <c r="A82" s="9" t="s">
        <v>182</v>
      </c>
      <c r="B82" s="12">
        <v>50000</v>
      </c>
      <c r="C82" s="11" t="s">
        <v>176</v>
      </c>
      <c r="D82" s="11" t="s">
        <v>183</v>
      </c>
    </row>
    <row r="83" spans="1:4" x14ac:dyDescent="0.3">
      <c r="A83" s="9" t="s">
        <v>184</v>
      </c>
      <c r="B83" s="12">
        <v>100000</v>
      </c>
      <c r="C83" s="11" t="s">
        <v>176</v>
      </c>
      <c r="D83" s="11" t="s">
        <v>185</v>
      </c>
    </row>
    <row r="84" spans="1:4" x14ac:dyDescent="0.3">
      <c r="A84" s="9" t="s">
        <v>186</v>
      </c>
      <c r="B84" s="12">
        <v>350000</v>
      </c>
      <c r="C84" s="11" t="s">
        <v>176</v>
      </c>
      <c r="D84" s="11" t="s">
        <v>187</v>
      </c>
    </row>
    <row r="85" spans="1:4" x14ac:dyDescent="0.3">
      <c r="A85" s="9" t="s">
        <v>188</v>
      </c>
      <c r="B85" s="12">
        <v>50000</v>
      </c>
      <c r="C85" s="11" t="s">
        <v>176</v>
      </c>
      <c r="D85" s="11" t="s">
        <v>189</v>
      </c>
    </row>
    <row r="86" spans="1:4" x14ac:dyDescent="0.3">
      <c r="A86" s="9" t="s">
        <v>190</v>
      </c>
      <c r="B86" s="12">
        <v>100000</v>
      </c>
      <c r="C86" s="11" t="s">
        <v>176</v>
      </c>
      <c r="D86" s="11" t="s">
        <v>191</v>
      </c>
    </row>
    <row r="87" spans="1:4" x14ac:dyDescent="0.3">
      <c r="A87" s="9" t="s">
        <v>192</v>
      </c>
      <c r="B87" s="12">
        <v>100000</v>
      </c>
      <c r="C87" s="11" t="s">
        <v>176</v>
      </c>
      <c r="D87" s="11" t="s">
        <v>193</v>
      </c>
    </row>
    <row r="88" spans="1:4" x14ac:dyDescent="0.3">
      <c r="A88" s="9" t="s">
        <v>194</v>
      </c>
      <c r="B88" s="14">
        <v>8.5000000000000006E-2</v>
      </c>
      <c r="C88" s="11" t="s">
        <v>63</v>
      </c>
      <c r="D88" s="11" t="s">
        <v>195</v>
      </c>
    </row>
    <row r="89" spans="1:4" x14ac:dyDescent="0.3">
      <c r="A89" s="9" t="s">
        <v>196</v>
      </c>
      <c r="B89" s="14">
        <v>0.06</v>
      </c>
      <c r="C89" s="11" t="s">
        <v>63</v>
      </c>
      <c r="D89" s="11" t="s">
        <v>197</v>
      </c>
    </row>
    <row r="90" spans="1:4" x14ac:dyDescent="0.3">
      <c r="A90" s="9" t="s">
        <v>198</v>
      </c>
      <c r="B90" s="15">
        <v>7</v>
      </c>
      <c r="C90" s="11" t="s">
        <v>199</v>
      </c>
      <c r="D90" s="11" t="s">
        <v>151</v>
      </c>
    </row>
    <row r="91" spans="1:4" x14ac:dyDescent="0.3">
      <c r="A91" s="9" t="s">
        <v>200</v>
      </c>
      <c r="B91" s="12">
        <v>60000</v>
      </c>
      <c r="C91" s="11" t="s">
        <v>176</v>
      </c>
      <c r="D91" s="11" t="s">
        <v>201</v>
      </c>
    </row>
    <row r="92" spans="1:4" x14ac:dyDescent="0.3">
      <c r="A92" s="9" t="s">
        <v>202</v>
      </c>
      <c r="B92" s="12">
        <v>30000</v>
      </c>
      <c r="C92" s="11" t="s">
        <v>176</v>
      </c>
      <c r="D92" s="11" t="s">
        <v>203</v>
      </c>
    </row>
    <row r="93" spans="1:4" ht="22.05" customHeight="1" x14ac:dyDescent="0.3">
      <c r="A93" s="7" t="s">
        <v>204</v>
      </c>
      <c r="B93" s="8"/>
      <c r="C93" s="8"/>
      <c r="D93" s="8"/>
    </row>
    <row r="94" spans="1:4" x14ac:dyDescent="0.3">
      <c r="A94" s="9" t="s">
        <v>205</v>
      </c>
      <c r="B94" s="10">
        <v>25</v>
      </c>
      <c r="C94" s="11" t="s">
        <v>206</v>
      </c>
      <c r="D94" s="11" t="s">
        <v>207</v>
      </c>
    </row>
    <row r="95" spans="1:4" x14ac:dyDescent="0.3">
      <c r="A95" s="9" t="s">
        <v>208</v>
      </c>
      <c r="B95" s="10">
        <v>22</v>
      </c>
      <c r="C95" s="11" t="s">
        <v>206</v>
      </c>
      <c r="D95" s="11" t="s">
        <v>209</v>
      </c>
    </row>
    <row r="96" spans="1:4" x14ac:dyDescent="0.3">
      <c r="A96" s="9" t="s">
        <v>210</v>
      </c>
      <c r="B96" s="10">
        <v>12</v>
      </c>
      <c r="C96" s="11" t="s">
        <v>206</v>
      </c>
      <c r="D96" s="11" t="s">
        <v>211</v>
      </c>
    </row>
    <row r="97" spans="1:4" x14ac:dyDescent="0.3">
      <c r="A97" s="9" t="s">
        <v>212</v>
      </c>
      <c r="B97" s="10">
        <v>25</v>
      </c>
      <c r="C97" s="11" t="s">
        <v>206</v>
      </c>
      <c r="D97" s="11" t="s">
        <v>213</v>
      </c>
    </row>
    <row r="98" spans="1:4" x14ac:dyDescent="0.3">
      <c r="A98" s="9" t="s">
        <v>214</v>
      </c>
      <c r="B98" s="10">
        <v>1</v>
      </c>
      <c r="C98" s="11" t="s">
        <v>206</v>
      </c>
      <c r="D98" s="11" t="s">
        <v>215</v>
      </c>
    </row>
    <row r="99" spans="1:4" x14ac:dyDescent="0.3">
      <c r="A99" s="9" t="s">
        <v>216</v>
      </c>
      <c r="B99" s="12">
        <v>100000</v>
      </c>
      <c r="C99" s="11" t="s">
        <v>176</v>
      </c>
      <c r="D99" s="11" t="s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02E"/>
  </sheetPr>
  <dimension ref="A1:E3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8" customWidth="1"/>
    <col min="2" max="4" width="16" customWidth="1"/>
    <col min="5" max="5" width="50" customWidth="1"/>
  </cols>
  <sheetData>
    <row r="1" spans="1:5" ht="30" customHeight="1" x14ac:dyDescent="0.3">
      <c r="A1" s="6" t="s">
        <v>218</v>
      </c>
      <c r="B1" s="6" t="s">
        <v>219</v>
      </c>
      <c r="C1" s="6" t="s">
        <v>220</v>
      </c>
      <c r="D1" s="6" t="s">
        <v>221</v>
      </c>
      <c r="E1" s="6" t="s">
        <v>222</v>
      </c>
    </row>
    <row r="2" spans="1:5" ht="22.05" customHeight="1" x14ac:dyDescent="0.3">
      <c r="A2" s="7" t="s">
        <v>223</v>
      </c>
      <c r="B2" s="8"/>
      <c r="C2" s="8"/>
      <c r="D2" s="8"/>
      <c r="E2" s="8"/>
    </row>
    <row r="3" spans="1:5" ht="27.6" x14ac:dyDescent="0.3">
      <c r="A3" s="9" t="s">
        <v>224</v>
      </c>
      <c r="B3" s="16">
        <f>Inputs!$B$81</f>
        <v>100000</v>
      </c>
      <c r="C3" s="16">
        <f>Inputs!$B$82</f>
        <v>50000</v>
      </c>
      <c r="D3" s="16">
        <f t="shared" ref="D3:D8" si="0">B3+C3</f>
        <v>150000</v>
      </c>
      <c r="E3" s="11" t="s">
        <v>225</v>
      </c>
    </row>
    <row r="4" spans="1:5" x14ac:dyDescent="0.3">
      <c r="A4" s="9" t="s">
        <v>226</v>
      </c>
      <c r="B4" s="16">
        <f>Inputs!$B$83</f>
        <v>100000</v>
      </c>
      <c r="C4" s="16">
        <f>Inputs!$B$84</f>
        <v>350000</v>
      </c>
      <c r="D4" s="16">
        <f t="shared" si="0"/>
        <v>450000</v>
      </c>
      <c r="E4" s="11" t="s">
        <v>227</v>
      </c>
    </row>
    <row r="5" spans="1:5" x14ac:dyDescent="0.3">
      <c r="A5" s="9" t="s">
        <v>228</v>
      </c>
      <c r="B5" s="16">
        <f>Inputs!$B$85</f>
        <v>50000</v>
      </c>
      <c r="C5" s="12">
        <v>0</v>
      </c>
      <c r="D5" s="16">
        <f t="shared" si="0"/>
        <v>50000</v>
      </c>
      <c r="E5" s="11" t="s">
        <v>229</v>
      </c>
    </row>
    <row r="6" spans="1:5" x14ac:dyDescent="0.3">
      <c r="A6" s="9" t="s">
        <v>230</v>
      </c>
      <c r="B6" s="12">
        <v>0</v>
      </c>
      <c r="C6" s="16">
        <f>Inputs!$B$86</f>
        <v>100000</v>
      </c>
      <c r="D6" s="16">
        <f t="shared" si="0"/>
        <v>100000</v>
      </c>
      <c r="E6" s="11" t="s">
        <v>231</v>
      </c>
    </row>
    <row r="7" spans="1:5" x14ac:dyDescent="0.3">
      <c r="A7" s="17" t="s">
        <v>232</v>
      </c>
      <c r="B7" s="18">
        <f>SUM(B3:B6)</f>
        <v>250000</v>
      </c>
      <c r="C7" s="18">
        <f>SUM(C3:C6)</f>
        <v>500000</v>
      </c>
      <c r="D7" s="18">
        <f t="shared" si="0"/>
        <v>750000</v>
      </c>
      <c r="E7" s="17"/>
    </row>
    <row r="8" spans="1:5" ht="28.8" x14ac:dyDescent="0.3">
      <c r="A8" s="9" t="s">
        <v>233</v>
      </c>
      <c r="B8" s="16">
        <f>Inputs!$B$87</f>
        <v>100000</v>
      </c>
      <c r="C8" s="12">
        <v>0</v>
      </c>
      <c r="D8" s="16">
        <f t="shared" si="0"/>
        <v>100000</v>
      </c>
      <c r="E8" s="11" t="s">
        <v>234</v>
      </c>
    </row>
    <row r="10" spans="1:5" ht="22.05" customHeight="1" x14ac:dyDescent="0.3">
      <c r="A10" s="7" t="s">
        <v>235</v>
      </c>
      <c r="B10" s="8"/>
      <c r="C10" s="8"/>
      <c r="D10" s="8"/>
      <c r="E10" s="8"/>
    </row>
    <row r="11" spans="1:5" ht="28.8" x14ac:dyDescent="0.3">
      <c r="A11" s="9" t="s">
        <v>236</v>
      </c>
      <c r="B11" s="12">
        <v>50000</v>
      </c>
      <c r="C11" s="12">
        <v>0</v>
      </c>
      <c r="D11" s="16">
        <f t="shared" ref="D11:D18" si="1">B11+C11</f>
        <v>50000</v>
      </c>
      <c r="E11" s="11" t="s">
        <v>237</v>
      </c>
    </row>
    <row r="12" spans="1:5" ht="28.8" x14ac:dyDescent="0.3">
      <c r="A12" s="9" t="s">
        <v>238</v>
      </c>
      <c r="B12" s="12">
        <v>70000</v>
      </c>
      <c r="C12" s="12">
        <v>0</v>
      </c>
      <c r="D12" s="16">
        <f t="shared" si="1"/>
        <v>70000</v>
      </c>
      <c r="E12" s="11" t="s">
        <v>239</v>
      </c>
    </row>
    <row r="13" spans="1:5" ht="28.8" x14ac:dyDescent="0.3">
      <c r="A13" s="9" t="s">
        <v>240</v>
      </c>
      <c r="B13" s="12">
        <v>35000</v>
      </c>
      <c r="C13" s="12">
        <v>0</v>
      </c>
      <c r="D13" s="16">
        <f t="shared" si="1"/>
        <v>35000</v>
      </c>
      <c r="E13" s="11" t="s">
        <v>241</v>
      </c>
    </row>
    <row r="14" spans="1:5" x14ac:dyDescent="0.3">
      <c r="A14" s="9" t="s">
        <v>242</v>
      </c>
      <c r="B14" s="12">
        <v>30000</v>
      </c>
      <c r="C14" s="12">
        <v>0</v>
      </c>
      <c r="D14" s="16">
        <f t="shared" si="1"/>
        <v>30000</v>
      </c>
      <c r="E14" s="11" t="s">
        <v>201</v>
      </c>
    </row>
    <row r="15" spans="1:5" x14ac:dyDescent="0.3">
      <c r="A15" s="9" t="s">
        <v>243</v>
      </c>
      <c r="B15" s="12">
        <v>30000</v>
      </c>
      <c r="C15" s="12">
        <v>0</v>
      </c>
      <c r="D15" s="16">
        <f t="shared" si="1"/>
        <v>30000</v>
      </c>
      <c r="E15" s="11" t="s">
        <v>244</v>
      </c>
    </row>
    <row r="16" spans="1:5" x14ac:dyDescent="0.3">
      <c r="A16" s="9" t="s">
        <v>245</v>
      </c>
      <c r="B16" s="12">
        <v>20000</v>
      </c>
      <c r="C16" s="12">
        <v>0</v>
      </c>
      <c r="D16" s="16">
        <f t="shared" si="1"/>
        <v>20000</v>
      </c>
      <c r="E16" s="11" t="s">
        <v>246</v>
      </c>
    </row>
    <row r="17" spans="1:5" x14ac:dyDescent="0.3">
      <c r="A17" s="9" t="s">
        <v>247</v>
      </c>
      <c r="B17" s="12">
        <v>15000</v>
      </c>
      <c r="C17" s="12">
        <v>0</v>
      </c>
      <c r="D17" s="16">
        <f t="shared" si="1"/>
        <v>15000</v>
      </c>
    </row>
    <row r="18" spans="1:5" x14ac:dyDescent="0.3">
      <c r="A18" s="17" t="s">
        <v>248</v>
      </c>
      <c r="B18" s="18">
        <f>SUM(B11:B17)</f>
        <v>250000</v>
      </c>
      <c r="C18" s="18">
        <f>0</f>
        <v>0</v>
      </c>
      <c r="D18" s="18">
        <f t="shared" si="1"/>
        <v>250000</v>
      </c>
      <c r="E18" s="17"/>
    </row>
    <row r="20" spans="1:5" ht="22.05" customHeight="1" x14ac:dyDescent="0.3">
      <c r="A20" s="7" t="s">
        <v>249</v>
      </c>
      <c r="B20" s="8"/>
      <c r="C20" s="8"/>
      <c r="D20" s="8"/>
      <c r="E20" s="8"/>
    </row>
    <row r="21" spans="1:5" ht="28.8" x14ac:dyDescent="0.3">
      <c r="A21" s="9" t="s">
        <v>250</v>
      </c>
      <c r="B21" s="12">
        <v>0</v>
      </c>
      <c r="C21" s="12">
        <v>130000</v>
      </c>
      <c r="D21" s="16">
        <f t="shared" ref="D21:D27" si="2">B21+C21</f>
        <v>130000</v>
      </c>
      <c r="E21" s="11" t="s">
        <v>251</v>
      </c>
    </row>
    <row r="22" spans="1:5" x14ac:dyDescent="0.3">
      <c r="A22" s="9" t="s">
        <v>252</v>
      </c>
      <c r="B22" s="12">
        <v>0</v>
      </c>
      <c r="C22" s="12">
        <v>50000</v>
      </c>
      <c r="D22" s="16">
        <f t="shared" si="2"/>
        <v>50000</v>
      </c>
      <c r="E22" s="11" t="s">
        <v>237</v>
      </c>
    </row>
    <row r="23" spans="1:5" x14ac:dyDescent="0.3">
      <c r="A23" s="9" t="s">
        <v>253</v>
      </c>
      <c r="B23" s="12">
        <v>0</v>
      </c>
      <c r="C23" s="12">
        <v>100000</v>
      </c>
      <c r="D23" s="16">
        <f t="shared" si="2"/>
        <v>100000</v>
      </c>
      <c r="E23" s="11" t="s">
        <v>254</v>
      </c>
    </row>
    <row r="24" spans="1:5" ht="28.8" x14ac:dyDescent="0.3">
      <c r="A24" s="9" t="s">
        <v>255</v>
      </c>
      <c r="B24" s="12">
        <v>0</v>
      </c>
      <c r="C24" s="12">
        <v>100000</v>
      </c>
      <c r="D24" s="16">
        <f t="shared" si="2"/>
        <v>100000</v>
      </c>
      <c r="E24" s="11" t="s">
        <v>256</v>
      </c>
    </row>
    <row r="25" spans="1:5" ht="28.8" x14ac:dyDescent="0.3">
      <c r="A25" s="9" t="s">
        <v>257</v>
      </c>
      <c r="B25" s="12">
        <v>0</v>
      </c>
      <c r="C25" s="12">
        <v>100000</v>
      </c>
      <c r="D25" s="16">
        <f t="shared" si="2"/>
        <v>100000</v>
      </c>
      <c r="E25" s="11" t="s">
        <v>258</v>
      </c>
    </row>
    <row r="26" spans="1:5" x14ac:dyDescent="0.3">
      <c r="A26" s="9" t="s">
        <v>259</v>
      </c>
      <c r="B26" s="12">
        <v>0</v>
      </c>
      <c r="C26" s="12">
        <v>20000</v>
      </c>
      <c r="D26" s="16">
        <f t="shared" si="2"/>
        <v>20000</v>
      </c>
    </row>
    <row r="27" spans="1:5" x14ac:dyDescent="0.3">
      <c r="A27" s="17" t="s">
        <v>260</v>
      </c>
      <c r="B27" s="18">
        <f>0</f>
        <v>0</v>
      </c>
      <c r="C27" s="18">
        <f>SUM(C21:C26)</f>
        <v>500000</v>
      </c>
      <c r="D27" s="18">
        <f t="shared" si="2"/>
        <v>500000</v>
      </c>
      <c r="E27" s="17"/>
    </row>
    <row r="29" spans="1:5" x14ac:dyDescent="0.3">
      <c r="A29" s="17" t="s">
        <v>261</v>
      </c>
      <c r="B29" s="18">
        <f>B18+B27</f>
        <v>250000</v>
      </c>
      <c r="C29" s="18">
        <f>C18+C27</f>
        <v>500000</v>
      </c>
      <c r="D29" s="18">
        <f>B29+C29</f>
        <v>750000</v>
      </c>
      <c r="E29" s="17"/>
    </row>
    <row r="31" spans="1:5" x14ac:dyDescent="0.3">
      <c r="A31" s="19" t="s">
        <v>262</v>
      </c>
      <c r="D31" s="20">
        <f>D7-D29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02E"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36" customWidth="1"/>
    <col min="2" max="14" width="12" customWidth="1"/>
  </cols>
  <sheetData>
    <row r="1" spans="1:14" ht="30" customHeight="1" x14ac:dyDescent="0.3">
      <c r="A1" s="6" t="s">
        <v>263</v>
      </c>
      <c r="B1" s="6" t="s">
        <v>264</v>
      </c>
      <c r="C1" s="6" t="s">
        <v>265</v>
      </c>
      <c r="D1" s="6" t="s">
        <v>266</v>
      </c>
      <c r="E1" s="6" t="s">
        <v>267</v>
      </c>
      <c r="F1" s="6" t="s">
        <v>268</v>
      </c>
      <c r="G1" s="6" t="s">
        <v>269</v>
      </c>
      <c r="H1" s="6" t="s">
        <v>270</v>
      </c>
      <c r="I1" s="6" t="s">
        <v>271</v>
      </c>
      <c r="J1" s="6" t="s">
        <v>272</v>
      </c>
      <c r="K1" s="6" t="s">
        <v>273</v>
      </c>
      <c r="L1" s="6" t="s">
        <v>274</v>
      </c>
      <c r="M1" s="6" t="s">
        <v>275</v>
      </c>
      <c r="N1" s="6" t="s">
        <v>276</v>
      </c>
    </row>
    <row r="2" spans="1:14" x14ac:dyDescent="0.3">
      <c r="A2" s="9" t="s">
        <v>277</v>
      </c>
      <c r="B2" s="21">
        <f>Inputs!$B$15</f>
        <v>25</v>
      </c>
      <c r="C2" s="21">
        <f>Inputs!$B$16</f>
        <v>35</v>
      </c>
      <c r="D2" s="21">
        <f>Inputs!$B$17</f>
        <v>45</v>
      </c>
      <c r="E2" s="21">
        <f>Inputs!$B$18</f>
        <v>45</v>
      </c>
      <c r="F2" s="21">
        <f>Inputs!$B$19</f>
        <v>45</v>
      </c>
      <c r="G2" s="21">
        <f>Inputs!$B$20</f>
        <v>45</v>
      </c>
      <c r="H2" s="21">
        <f>Inputs!$B$21</f>
        <v>40</v>
      </c>
      <c r="I2" s="21">
        <f>Inputs!$B$22</f>
        <v>35</v>
      </c>
      <c r="J2" s="21">
        <f>Inputs!$B$23</f>
        <v>30</v>
      </c>
      <c r="K2" s="21">
        <f>Inputs!$B$24</f>
        <v>25</v>
      </c>
      <c r="L2" s="21">
        <f>Inputs!$B$25</f>
        <v>25</v>
      </c>
      <c r="M2" s="21">
        <f>Inputs!$B$26</f>
        <v>25</v>
      </c>
      <c r="N2" s="21">
        <f>SUM(B2:M2)</f>
        <v>420</v>
      </c>
    </row>
    <row r="3" spans="1:14" x14ac:dyDescent="0.3">
      <c r="A3" s="9" t="s">
        <v>278</v>
      </c>
      <c r="B3" s="21">
        <f>0</f>
        <v>0</v>
      </c>
      <c r="C3" s="21">
        <f>ROUND(B4*Inputs!$B$14,0)</f>
        <v>1</v>
      </c>
      <c r="D3" s="21">
        <f>ROUND(C4*Inputs!$B$14,0)</f>
        <v>3</v>
      </c>
      <c r="E3" s="21">
        <f>ROUND(D4*Inputs!$B$14,0)</f>
        <v>5</v>
      </c>
      <c r="F3" s="21">
        <f>ROUND(E4*Inputs!$B$14,0)</f>
        <v>7</v>
      </c>
      <c r="G3" s="21">
        <f>ROUND(F4*Inputs!$B$14,0)</f>
        <v>9</v>
      </c>
      <c r="H3" s="21">
        <f>ROUND(G4*Inputs!$B$14,0)</f>
        <v>11</v>
      </c>
      <c r="I3" s="21">
        <f>ROUND(H4*Inputs!$B$14,0)</f>
        <v>12</v>
      </c>
      <c r="J3" s="21">
        <f>ROUND(I4*Inputs!$B$14,0)</f>
        <v>13</v>
      </c>
      <c r="K3" s="21">
        <f>ROUND(J4*Inputs!$B$14,0)</f>
        <v>14</v>
      </c>
      <c r="L3" s="21">
        <f>ROUND(K4*Inputs!$B$14,0)</f>
        <v>15</v>
      </c>
      <c r="M3" s="21">
        <f>ROUND(L4*Inputs!$B$14,0)</f>
        <v>15</v>
      </c>
      <c r="N3" s="21">
        <f>SUM(B3:M3)</f>
        <v>105</v>
      </c>
    </row>
    <row r="4" spans="1:14" x14ac:dyDescent="0.3">
      <c r="A4" s="22" t="s">
        <v>279</v>
      </c>
      <c r="B4" s="23">
        <f>B2-B3</f>
        <v>25</v>
      </c>
      <c r="C4" s="23">
        <f t="shared" ref="C4:M4" si="0">B4+C2-C3</f>
        <v>59</v>
      </c>
      <c r="D4" s="23">
        <f t="shared" si="0"/>
        <v>101</v>
      </c>
      <c r="E4" s="23">
        <f t="shared" si="0"/>
        <v>141</v>
      </c>
      <c r="F4" s="23">
        <f t="shared" si="0"/>
        <v>179</v>
      </c>
      <c r="G4" s="23">
        <f t="shared" si="0"/>
        <v>215</v>
      </c>
      <c r="H4" s="23">
        <f t="shared" si="0"/>
        <v>244</v>
      </c>
      <c r="I4" s="23">
        <f t="shared" si="0"/>
        <v>267</v>
      </c>
      <c r="J4" s="23">
        <f t="shared" si="0"/>
        <v>284</v>
      </c>
      <c r="K4" s="23">
        <f t="shared" si="0"/>
        <v>295</v>
      </c>
      <c r="L4" s="23">
        <f t="shared" si="0"/>
        <v>305</v>
      </c>
      <c r="M4" s="23">
        <f t="shared" si="0"/>
        <v>315</v>
      </c>
      <c r="N4" s="23">
        <f>M4</f>
        <v>315</v>
      </c>
    </row>
    <row r="5" spans="1:14" x14ac:dyDescent="0.3">
      <c r="A5" s="9" t="s">
        <v>280</v>
      </c>
      <c r="B5" s="21">
        <f>B4/2</f>
        <v>12.5</v>
      </c>
      <c r="C5" s="21">
        <f t="shared" ref="C5:M5" si="1">(B4+C4)/2</f>
        <v>42</v>
      </c>
      <c r="D5" s="21">
        <f t="shared" si="1"/>
        <v>80</v>
      </c>
      <c r="E5" s="21">
        <f t="shared" si="1"/>
        <v>121</v>
      </c>
      <c r="F5" s="21">
        <f t="shared" si="1"/>
        <v>160</v>
      </c>
      <c r="G5" s="21">
        <f t="shared" si="1"/>
        <v>197</v>
      </c>
      <c r="H5" s="21">
        <f t="shared" si="1"/>
        <v>229.5</v>
      </c>
      <c r="I5" s="21">
        <f t="shared" si="1"/>
        <v>255.5</v>
      </c>
      <c r="J5" s="21">
        <f t="shared" si="1"/>
        <v>275.5</v>
      </c>
      <c r="K5" s="21">
        <f t="shared" si="1"/>
        <v>289.5</v>
      </c>
      <c r="L5" s="21">
        <f t="shared" si="1"/>
        <v>300</v>
      </c>
      <c r="M5" s="21">
        <f t="shared" si="1"/>
        <v>310</v>
      </c>
    </row>
    <row r="6" spans="1:14" x14ac:dyDescent="0.3">
      <c r="A6" s="9" t="s">
        <v>281</v>
      </c>
      <c r="B6" s="21">
        <f>ROUND(B5*Inputs!$B$11*(1+Inputs!$B$13),0)</f>
        <v>65</v>
      </c>
      <c r="C6" s="21">
        <f>ROUND(C5*Inputs!$B$11*(1+Inputs!$B$13),0)</f>
        <v>218</v>
      </c>
      <c r="D6" s="21">
        <f>ROUND(D5*Inputs!$B$11*(1+Inputs!$B$13),0)</f>
        <v>416</v>
      </c>
      <c r="E6" s="21">
        <f>ROUND(E5*Inputs!$B$11*(1+Inputs!$B$13),0)</f>
        <v>629</v>
      </c>
      <c r="F6" s="21">
        <f>ROUND(F5*Inputs!$B$11*(1+Inputs!$B$13),0)</f>
        <v>832</v>
      </c>
      <c r="G6" s="21">
        <f>ROUND(G5*Inputs!$B$11*(1+Inputs!$B$13),0)</f>
        <v>1024</v>
      </c>
      <c r="H6" s="21">
        <f>ROUND(H5*Inputs!$B$11*(1+Inputs!$B$13),0)</f>
        <v>1193</v>
      </c>
      <c r="I6" s="21">
        <f>ROUND(I5*Inputs!$B$11*(1+Inputs!$B$13),0)</f>
        <v>1329</v>
      </c>
      <c r="J6" s="21">
        <f>ROUND(J5*Inputs!$B$11*(1+Inputs!$B$13),0)</f>
        <v>1433</v>
      </c>
      <c r="K6" s="21">
        <f>ROUND(K5*Inputs!$B$11*(1+Inputs!$B$13),0)</f>
        <v>1505</v>
      </c>
      <c r="L6" s="21">
        <f>ROUND(L5*Inputs!$B$11*(1+Inputs!$B$13),0)</f>
        <v>1560</v>
      </c>
      <c r="M6" s="21">
        <f>ROUND(M5*Inputs!$B$11*(1+Inputs!$B$13),0)</f>
        <v>1612</v>
      </c>
      <c r="N6" s="21">
        <f t="shared" ref="N6:N13" si="2">SUM(B6:M6)</f>
        <v>11816</v>
      </c>
    </row>
    <row r="7" spans="1:14" x14ac:dyDescent="0.3">
      <c r="A7" s="9" t="s">
        <v>282</v>
      </c>
      <c r="B7" s="16">
        <f>B5*Inputs!$B$11*Inputs!$B$9</f>
        <v>2500</v>
      </c>
      <c r="C7" s="16">
        <f>C5*Inputs!$B$11*Inputs!$B$9</f>
        <v>8400</v>
      </c>
      <c r="D7" s="16">
        <f>D5*Inputs!$B$11*Inputs!$B$9</f>
        <v>16000</v>
      </c>
      <c r="E7" s="16">
        <f>E5*Inputs!$B$11*Inputs!$B$9</f>
        <v>24200</v>
      </c>
      <c r="F7" s="16">
        <f>F5*Inputs!$B$11*Inputs!$B$9</f>
        <v>32000</v>
      </c>
      <c r="G7" s="16">
        <f>G5*Inputs!$B$11*Inputs!$B$9</f>
        <v>39400</v>
      </c>
      <c r="H7" s="16">
        <f>H5*Inputs!$B$11*Inputs!$B$9</f>
        <v>45900</v>
      </c>
      <c r="I7" s="16">
        <f>I5*Inputs!$B$11*Inputs!$B$9</f>
        <v>51100</v>
      </c>
      <c r="J7" s="16">
        <f>J5*Inputs!$B$11*Inputs!$B$9</f>
        <v>55100</v>
      </c>
      <c r="K7" s="16">
        <f>K5*Inputs!$B$11*Inputs!$B$9</f>
        <v>57900</v>
      </c>
      <c r="L7" s="16">
        <f>L5*Inputs!$B$11*Inputs!$B$9</f>
        <v>60000</v>
      </c>
      <c r="M7" s="16">
        <f>M5*Inputs!$B$11*Inputs!$B$9</f>
        <v>62000</v>
      </c>
      <c r="N7" s="16">
        <f t="shared" si="2"/>
        <v>454500</v>
      </c>
    </row>
    <row r="8" spans="1:14" x14ac:dyDescent="0.3">
      <c r="A8" s="9" t="s">
        <v>283</v>
      </c>
      <c r="B8" s="16">
        <f>B7*Inputs!$B$13</f>
        <v>750</v>
      </c>
      <c r="C8" s="16">
        <f>C7*Inputs!$B$13</f>
        <v>2520</v>
      </c>
      <c r="D8" s="16">
        <f>D7*Inputs!$B$13</f>
        <v>4800</v>
      </c>
      <c r="E8" s="16">
        <f>E7*Inputs!$B$13</f>
        <v>7260</v>
      </c>
      <c r="F8" s="16">
        <f>F7*Inputs!$B$13</f>
        <v>9600</v>
      </c>
      <c r="G8" s="16">
        <f>G7*Inputs!$B$13</f>
        <v>11820</v>
      </c>
      <c r="H8" s="16">
        <f>H7*Inputs!$B$13</f>
        <v>13770</v>
      </c>
      <c r="I8" s="16">
        <f>I7*Inputs!$B$13</f>
        <v>15330</v>
      </c>
      <c r="J8" s="16">
        <f>J7*Inputs!$B$13</f>
        <v>16530</v>
      </c>
      <c r="K8" s="16">
        <f>K7*Inputs!$B$13</f>
        <v>17370</v>
      </c>
      <c r="L8" s="16">
        <f>L7*Inputs!$B$13</f>
        <v>18000</v>
      </c>
      <c r="M8" s="16">
        <f>M7*Inputs!$B$13</f>
        <v>18600</v>
      </c>
      <c r="N8" s="16">
        <f t="shared" si="2"/>
        <v>136350</v>
      </c>
    </row>
    <row r="9" spans="1:14" x14ac:dyDescent="0.3">
      <c r="A9" s="22" t="s">
        <v>284</v>
      </c>
      <c r="B9" s="18">
        <f t="shared" ref="B9:M9" si="3">B7+B8</f>
        <v>3250</v>
      </c>
      <c r="C9" s="18">
        <f t="shared" si="3"/>
        <v>10920</v>
      </c>
      <c r="D9" s="18">
        <f t="shared" si="3"/>
        <v>20800</v>
      </c>
      <c r="E9" s="18">
        <f t="shared" si="3"/>
        <v>31460</v>
      </c>
      <c r="F9" s="18">
        <f t="shared" si="3"/>
        <v>41600</v>
      </c>
      <c r="G9" s="18">
        <f t="shared" si="3"/>
        <v>51220</v>
      </c>
      <c r="H9" s="18">
        <f t="shared" si="3"/>
        <v>59670</v>
      </c>
      <c r="I9" s="18">
        <f t="shared" si="3"/>
        <v>66430</v>
      </c>
      <c r="J9" s="18">
        <f t="shared" si="3"/>
        <v>71630</v>
      </c>
      <c r="K9" s="18">
        <f t="shared" si="3"/>
        <v>75270</v>
      </c>
      <c r="L9" s="18">
        <f t="shared" si="3"/>
        <v>78000</v>
      </c>
      <c r="M9" s="18">
        <f t="shared" si="3"/>
        <v>80600</v>
      </c>
      <c r="N9" s="18">
        <f t="shared" si="2"/>
        <v>590850</v>
      </c>
    </row>
    <row r="10" spans="1:14" x14ac:dyDescent="0.3">
      <c r="A10" s="9" t="s">
        <v>285</v>
      </c>
      <c r="B10" s="16">
        <f>B9*(1-Inputs!$B$10)</f>
        <v>2437.5</v>
      </c>
      <c r="C10" s="16">
        <f>C9*(1-Inputs!$B$10)</f>
        <v>8190</v>
      </c>
      <c r="D10" s="16">
        <f>D9*(1-Inputs!$B$10)</f>
        <v>15600</v>
      </c>
      <c r="E10" s="16">
        <f>E9*(1-Inputs!$B$10)</f>
        <v>23595</v>
      </c>
      <c r="F10" s="16">
        <f>F9*(1-Inputs!$B$10)</f>
        <v>31200</v>
      </c>
      <c r="G10" s="16">
        <f>G9*(1-Inputs!$B$10)</f>
        <v>38415</v>
      </c>
      <c r="H10" s="16">
        <f>H9*(1-Inputs!$B$10)</f>
        <v>44752.5</v>
      </c>
      <c r="I10" s="16">
        <f>I9*(1-Inputs!$B$10)</f>
        <v>49822.5</v>
      </c>
      <c r="J10" s="16">
        <f>J9*(1-Inputs!$B$10)</f>
        <v>53722.5</v>
      </c>
      <c r="K10" s="16">
        <f>K9*(1-Inputs!$B$10)</f>
        <v>56452.5</v>
      </c>
      <c r="L10" s="16">
        <f>L9*(1-Inputs!$B$10)</f>
        <v>58500</v>
      </c>
      <c r="M10" s="16">
        <f>M9*(1-Inputs!$B$10)</f>
        <v>60450</v>
      </c>
      <c r="N10" s="16">
        <f t="shared" si="2"/>
        <v>443137.5</v>
      </c>
    </row>
    <row r="11" spans="1:14" x14ac:dyDescent="0.3">
      <c r="A11" s="22" t="s">
        <v>286</v>
      </c>
      <c r="B11" s="18">
        <f t="shared" ref="B11:M11" si="4">B9-B10</f>
        <v>812.5</v>
      </c>
      <c r="C11" s="18">
        <f t="shared" si="4"/>
        <v>2730</v>
      </c>
      <c r="D11" s="18">
        <f t="shared" si="4"/>
        <v>5200</v>
      </c>
      <c r="E11" s="18">
        <f t="shared" si="4"/>
        <v>7865</v>
      </c>
      <c r="F11" s="18">
        <f t="shared" si="4"/>
        <v>10400</v>
      </c>
      <c r="G11" s="18">
        <f t="shared" si="4"/>
        <v>12805</v>
      </c>
      <c r="H11" s="18">
        <f t="shared" si="4"/>
        <v>14917.5</v>
      </c>
      <c r="I11" s="18">
        <f t="shared" si="4"/>
        <v>16607.5</v>
      </c>
      <c r="J11" s="18">
        <f t="shared" si="4"/>
        <v>17907.5</v>
      </c>
      <c r="K11" s="18">
        <f t="shared" si="4"/>
        <v>18817.5</v>
      </c>
      <c r="L11" s="18">
        <f t="shared" si="4"/>
        <v>19500</v>
      </c>
      <c r="M11" s="18">
        <f t="shared" si="4"/>
        <v>20150</v>
      </c>
      <c r="N11" s="18">
        <f t="shared" si="2"/>
        <v>147712.5</v>
      </c>
    </row>
    <row r="12" spans="1:14" x14ac:dyDescent="0.3">
      <c r="A12" s="9" t="s">
        <v>287</v>
      </c>
      <c r="B12" s="16">
        <f>B6*Inputs!$B$12</f>
        <v>292.5</v>
      </c>
      <c r="C12" s="16">
        <f>C6*Inputs!$B$12</f>
        <v>981</v>
      </c>
      <c r="D12" s="16">
        <f>D6*Inputs!$B$12</f>
        <v>1872</v>
      </c>
      <c r="E12" s="16">
        <f>E6*Inputs!$B$12</f>
        <v>2830.5</v>
      </c>
      <c r="F12" s="16">
        <f>F6*Inputs!$B$12</f>
        <v>3744</v>
      </c>
      <c r="G12" s="16">
        <f>G6*Inputs!$B$12</f>
        <v>4608</v>
      </c>
      <c r="H12" s="16">
        <f>H6*Inputs!$B$12</f>
        <v>5368.5</v>
      </c>
      <c r="I12" s="16">
        <f>I6*Inputs!$B$12</f>
        <v>5980.5</v>
      </c>
      <c r="J12" s="16">
        <f>J6*Inputs!$B$12</f>
        <v>6448.5</v>
      </c>
      <c r="K12" s="16">
        <f>K6*Inputs!$B$12</f>
        <v>6772.5</v>
      </c>
      <c r="L12" s="16">
        <f>L6*Inputs!$B$12</f>
        <v>7020</v>
      </c>
      <c r="M12" s="16">
        <f>M6*Inputs!$B$12</f>
        <v>7254</v>
      </c>
      <c r="N12" s="16">
        <f t="shared" si="2"/>
        <v>53172</v>
      </c>
    </row>
    <row r="13" spans="1:14" x14ac:dyDescent="0.3">
      <c r="A13" s="22" t="s">
        <v>288</v>
      </c>
      <c r="B13" s="18">
        <f t="shared" ref="B13:M13" si="5">B11-B12</f>
        <v>520</v>
      </c>
      <c r="C13" s="18">
        <f t="shared" si="5"/>
        <v>1749</v>
      </c>
      <c r="D13" s="18">
        <f t="shared" si="5"/>
        <v>3328</v>
      </c>
      <c r="E13" s="18">
        <f t="shared" si="5"/>
        <v>5034.5</v>
      </c>
      <c r="F13" s="18">
        <f t="shared" si="5"/>
        <v>6656</v>
      </c>
      <c r="G13" s="18">
        <f t="shared" si="5"/>
        <v>8197</v>
      </c>
      <c r="H13" s="18">
        <f t="shared" si="5"/>
        <v>9549</v>
      </c>
      <c r="I13" s="18">
        <f t="shared" si="5"/>
        <v>10627</v>
      </c>
      <c r="J13" s="18">
        <f t="shared" si="5"/>
        <v>11459</v>
      </c>
      <c r="K13" s="18">
        <f t="shared" si="5"/>
        <v>12045</v>
      </c>
      <c r="L13" s="18">
        <f t="shared" si="5"/>
        <v>12480</v>
      </c>
      <c r="M13" s="18">
        <f t="shared" si="5"/>
        <v>12896</v>
      </c>
      <c r="N13" s="18">
        <f t="shared" si="2"/>
        <v>94540.5</v>
      </c>
    </row>
    <row r="15" spans="1:14" ht="22.05" customHeight="1" x14ac:dyDescent="0.3">
      <c r="A15" s="7" t="s">
        <v>289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3">
      <c r="A16" s="9" t="s">
        <v>290</v>
      </c>
      <c r="B16" s="24">
        <f>D4</f>
        <v>101</v>
      </c>
    </row>
    <row r="17" spans="1:2" x14ac:dyDescent="0.3">
      <c r="A17" s="9" t="s">
        <v>291</v>
      </c>
      <c r="B17" s="20">
        <f>D9</f>
        <v>20800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02E"/>
  </sheetPr>
  <dimension ref="A1:N26"/>
  <sheetViews>
    <sheetView workbookViewId="0">
      <pane xSplit="1" ySplit="2" topLeftCell="B16" activePane="bottomRight" state="frozen"/>
      <selection pane="topRight"/>
      <selection pane="bottomLeft"/>
      <selection pane="bottomRight" activeCell="B38" sqref="B38"/>
    </sheetView>
  </sheetViews>
  <sheetFormatPr defaultRowHeight="14.4" x14ac:dyDescent="0.3"/>
  <cols>
    <col min="1" max="1" width="36" customWidth="1"/>
    <col min="2" max="14" width="12" customWidth="1"/>
  </cols>
  <sheetData>
    <row r="1" spans="1:14" ht="30" customHeight="1" x14ac:dyDescent="0.3">
      <c r="A1" s="6" t="s">
        <v>292</v>
      </c>
      <c r="B1" s="6" t="s">
        <v>264</v>
      </c>
      <c r="C1" s="6" t="s">
        <v>265</v>
      </c>
      <c r="D1" s="6" t="s">
        <v>266</v>
      </c>
      <c r="E1" s="6" t="s">
        <v>267</v>
      </c>
      <c r="F1" s="6" t="s">
        <v>268</v>
      </c>
      <c r="G1" s="6" t="s">
        <v>269</v>
      </c>
      <c r="H1" s="6" t="s">
        <v>270</v>
      </c>
      <c r="I1" s="6" t="s">
        <v>271</v>
      </c>
      <c r="J1" s="6" t="s">
        <v>272</v>
      </c>
      <c r="K1" s="6" t="s">
        <v>273</v>
      </c>
      <c r="L1" s="6" t="s">
        <v>274</v>
      </c>
      <c r="M1" s="6" t="s">
        <v>275</v>
      </c>
      <c r="N1" s="6" t="s">
        <v>276</v>
      </c>
    </row>
    <row r="2" spans="1:14" x14ac:dyDescent="0.3">
      <c r="A2" s="22" t="s">
        <v>293</v>
      </c>
      <c r="B2" s="18">
        <f>0</f>
        <v>0</v>
      </c>
      <c r="C2" s="18">
        <f>0</f>
        <v>0</v>
      </c>
      <c r="D2" s="18">
        <f>0</f>
        <v>0</v>
      </c>
      <c r="E2" s="18">
        <f>0</f>
        <v>0</v>
      </c>
      <c r="F2" s="18">
        <f>0</f>
        <v>0</v>
      </c>
      <c r="G2" s="18">
        <f>0</f>
        <v>0</v>
      </c>
      <c r="H2" s="18">
        <f>Inputs!$B$28</f>
        <v>40000</v>
      </c>
      <c r="I2" s="18">
        <f>Inputs!$B$29</f>
        <v>55000</v>
      </c>
      <c r="J2" s="18">
        <f>Inputs!$B$30</f>
        <v>70000</v>
      </c>
      <c r="K2" s="18">
        <f>Inputs!$B$31</f>
        <v>80000</v>
      </c>
      <c r="L2" s="18">
        <f>Inputs!$B$32</f>
        <v>85000</v>
      </c>
      <c r="M2" s="18">
        <f>Inputs!$B$33</f>
        <v>90000</v>
      </c>
      <c r="N2" s="18">
        <f>SUM(B2:M2)</f>
        <v>420000</v>
      </c>
    </row>
    <row r="4" spans="1:14" ht="22.05" customHeight="1" x14ac:dyDescent="0.3">
      <c r="A4" s="7" t="s">
        <v>294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295</v>
      </c>
      <c r="B5" s="16">
        <f>B2*Inputs!$B$34</f>
        <v>0</v>
      </c>
      <c r="C5" s="16">
        <f>C2*Inputs!$B$34</f>
        <v>0</v>
      </c>
      <c r="D5" s="16">
        <f>D2*Inputs!$B$34</f>
        <v>0</v>
      </c>
      <c r="E5" s="16">
        <f>E2*Inputs!$B$34</f>
        <v>0</v>
      </c>
      <c r="F5" s="16">
        <f>F2*Inputs!$B$34</f>
        <v>0</v>
      </c>
      <c r="G5" s="16">
        <f>G2*Inputs!$B$34</f>
        <v>0</v>
      </c>
      <c r="H5" s="16">
        <f>H2*Inputs!$B$34</f>
        <v>12000</v>
      </c>
      <c r="I5" s="16">
        <f>I2*Inputs!$B$34</f>
        <v>16500</v>
      </c>
      <c r="J5" s="16">
        <f>J2*Inputs!$B$34</f>
        <v>21000</v>
      </c>
      <c r="K5" s="16">
        <f>K2*Inputs!$B$34</f>
        <v>24000</v>
      </c>
      <c r="L5" s="16">
        <f>L2*Inputs!$B$34</f>
        <v>25500</v>
      </c>
      <c r="M5" s="16">
        <f>M2*Inputs!$B$34</f>
        <v>27000</v>
      </c>
    </row>
    <row r="6" spans="1:14" x14ac:dyDescent="0.3">
      <c r="A6" s="9" t="s">
        <v>296</v>
      </c>
      <c r="B6" s="16">
        <f>B2*Inputs!$B$36</f>
        <v>0</v>
      </c>
      <c r="C6" s="16">
        <f>C2*Inputs!$B$36</f>
        <v>0</v>
      </c>
      <c r="D6" s="16">
        <f>D2*Inputs!$B$36</f>
        <v>0</v>
      </c>
      <c r="E6" s="16">
        <f>E2*Inputs!$B$36</f>
        <v>0</v>
      </c>
      <c r="F6" s="16">
        <f>F2*Inputs!$B$36</f>
        <v>0</v>
      </c>
      <c r="G6" s="16">
        <f>G2*Inputs!$B$36</f>
        <v>0</v>
      </c>
      <c r="H6" s="16">
        <f>H2*Inputs!$B$36</f>
        <v>7200</v>
      </c>
      <c r="I6" s="16">
        <f>I2*Inputs!$B$36</f>
        <v>9900</v>
      </c>
      <c r="J6" s="16">
        <f>J2*Inputs!$B$36</f>
        <v>12600</v>
      </c>
      <c r="K6" s="16">
        <f>K2*Inputs!$B$36</f>
        <v>14400</v>
      </c>
      <c r="L6" s="16">
        <f>L2*Inputs!$B$36</f>
        <v>15300</v>
      </c>
      <c r="M6" s="16">
        <f>M2*Inputs!$B$36</f>
        <v>16200</v>
      </c>
    </row>
    <row r="7" spans="1:14" x14ac:dyDescent="0.3">
      <c r="A7" s="9" t="s">
        <v>297</v>
      </c>
      <c r="B7" s="16">
        <f>B2*Inputs!$B$38</f>
        <v>0</v>
      </c>
      <c r="C7" s="16">
        <f>C2*Inputs!$B$38</f>
        <v>0</v>
      </c>
      <c r="D7" s="16">
        <f>D2*Inputs!$B$38</f>
        <v>0</v>
      </c>
      <c r="E7" s="16">
        <f>E2*Inputs!$B$38</f>
        <v>0</v>
      </c>
      <c r="F7" s="16">
        <f>F2*Inputs!$B$38</f>
        <v>0</v>
      </c>
      <c r="G7" s="16">
        <f>G2*Inputs!$B$38</f>
        <v>0</v>
      </c>
      <c r="H7" s="16">
        <f>H2*Inputs!$B$38</f>
        <v>3200</v>
      </c>
      <c r="I7" s="16">
        <f>I2*Inputs!$B$38</f>
        <v>4400</v>
      </c>
      <c r="J7" s="16">
        <f>J2*Inputs!$B$38</f>
        <v>5600</v>
      </c>
      <c r="K7" s="16">
        <f>K2*Inputs!$B$38</f>
        <v>6400</v>
      </c>
      <c r="L7" s="16">
        <f>L2*Inputs!$B$38</f>
        <v>6800</v>
      </c>
      <c r="M7" s="16">
        <f>M2*Inputs!$B$38</f>
        <v>7200</v>
      </c>
    </row>
    <row r="8" spans="1:14" x14ac:dyDescent="0.3">
      <c r="A8" s="9" t="s">
        <v>298</v>
      </c>
      <c r="B8" s="16">
        <f>B2*Inputs!$B$40</f>
        <v>0</v>
      </c>
      <c r="C8" s="16">
        <f>C2*Inputs!$B$40</f>
        <v>0</v>
      </c>
      <c r="D8" s="16">
        <f>D2*Inputs!$B$40</f>
        <v>0</v>
      </c>
      <c r="E8" s="16">
        <f>E2*Inputs!$B$40</f>
        <v>0</v>
      </c>
      <c r="F8" s="16">
        <f>F2*Inputs!$B$40</f>
        <v>0</v>
      </c>
      <c r="G8" s="16">
        <f>G2*Inputs!$B$40</f>
        <v>0</v>
      </c>
      <c r="H8" s="16">
        <f>H2*Inputs!$B$40</f>
        <v>3200</v>
      </c>
      <c r="I8" s="16">
        <f>I2*Inputs!$B$40</f>
        <v>4400</v>
      </c>
      <c r="J8" s="16">
        <f>J2*Inputs!$B$40</f>
        <v>5600</v>
      </c>
      <c r="K8" s="16">
        <f>K2*Inputs!$B$40</f>
        <v>6400</v>
      </c>
      <c r="L8" s="16">
        <f>L2*Inputs!$B$40</f>
        <v>6800</v>
      </c>
      <c r="M8" s="16">
        <f>M2*Inputs!$B$40</f>
        <v>7200</v>
      </c>
    </row>
    <row r="9" spans="1:14" x14ac:dyDescent="0.3">
      <c r="A9" s="9" t="s">
        <v>299</v>
      </c>
      <c r="B9" s="16">
        <f>B2*Inputs!$B$42</f>
        <v>0</v>
      </c>
      <c r="C9" s="16">
        <f>C2*Inputs!$B$42</f>
        <v>0</v>
      </c>
      <c r="D9" s="16">
        <f>D2*Inputs!$B$42</f>
        <v>0</v>
      </c>
      <c r="E9" s="16">
        <f>E2*Inputs!$B$42</f>
        <v>0</v>
      </c>
      <c r="F9" s="16">
        <f>F2*Inputs!$B$42</f>
        <v>0</v>
      </c>
      <c r="G9" s="16">
        <f>G2*Inputs!$B$42</f>
        <v>0</v>
      </c>
      <c r="H9" s="16">
        <f>H2*Inputs!$B$42</f>
        <v>2400</v>
      </c>
      <c r="I9" s="16">
        <f>I2*Inputs!$B$42</f>
        <v>3300</v>
      </c>
      <c r="J9" s="16">
        <f>J2*Inputs!$B$42</f>
        <v>4200</v>
      </c>
      <c r="K9" s="16">
        <f>K2*Inputs!$B$42</f>
        <v>4800</v>
      </c>
      <c r="L9" s="16">
        <f>L2*Inputs!$B$42</f>
        <v>5100</v>
      </c>
      <c r="M9" s="16">
        <f>M2*Inputs!$B$42</f>
        <v>5400</v>
      </c>
    </row>
    <row r="10" spans="1:14" ht="28.8" x14ac:dyDescent="0.3">
      <c r="A10" s="9" t="s">
        <v>300</v>
      </c>
      <c r="B10" s="16">
        <f>B2*Inputs!$B$44</f>
        <v>0</v>
      </c>
      <c r="C10" s="16">
        <f>C2*Inputs!$B$44</f>
        <v>0</v>
      </c>
      <c r="D10" s="16">
        <f>D2*Inputs!$B$44</f>
        <v>0</v>
      </c>
      <c r="E10" s="16">
        <f>E2*Inputs!$B$44</f>
        <v>0</v>
      </c>
      <c r="F10" s="16">
        <f>F2*Inputs!$B$44</f>
        <v>0</v>
      </c>
      <c r="G10" s="16">
        <f>G2*Inputs!$B$44</f>
        <v>0</v>
      </c>
      <c r="H10" s="16">
        <f>H2*Inputs!$B$44</f>
        <v>8000</v>
      </c>
      <c r="I10" s="16">
        <f>I2*Inputs!$B$44</f>
        <v>11000</v>
      </c>
      <c r="J10" s="16">
        <f>J2*Inputs!$B$44</f>
        <v>14000</v>
      </c>
      <c r="K10" s="16">
        <f>K2*Inputs!$B$44</f>
        <v>16000</v>
      </c>
      <c r="L10" s="16">
        <f>L2*Inputs!$B$44</f>
        <v>17000</v>
      </c>
      <c r="M10" s="16">
        <f>M2*Inputs!$B$44</f>
        <v>18000</v>
      </c>
    </row>
    <row r="11" spans="1:14" x14ac:dyDescent="0.3">
      <c r="A11" s="9" t="s">
        <v>301</v>
      </c>
      <c r="B11" s="16">
        <f>B2*Inputs!$B$46</f>
        <v>0</v>
      </c>
      <c r="C11" s="16">
        <f>C2*Inputs!$B$46</f>
        <v>0</v>
      </c>
      <c r="D11" s="16">
        <f>D2*Inputs!$B$46</f>
        <v>0</v>
      </c>
      <c r="E11" s="16">
        <f>E2*Inputs!$B$46</f>
        <v>0</v>
      </c>
      <c r="F11" s="16">
        <f>F2*Inputs!$B$46</f>
        <v>0</v>
      </c>
      <c r="G11" s="16">
        <f>G2*Inputs!$B$46</f>
        <v>0</v>
      </c>
      <c r="H11" s="16">
        <f>H2*Inputs!$B$46</f>
        <v>2000</v>
      </c>
      <c r="I11" s="16">
        <f>I2*Inputs!$B$46</f>
        <v>2750</v>
      </c>
      <c r="J11" s="16">
        <f>J2*Inputs!$B$46</f>
        <v>3500</v>
      </c>
      <c r="K11" s="16">
        <f>K2*Inputs!$B$46</f>
        <v>4000</v>
      </c>
      <c r="L11" s="16">
        <f>L2*Inputs!$B$46</f>
        <v>4250</v>
      </c>
      <c r="M11" s="16">
        <f>M2*Inputs!$B$46</f>
        <v>4500</v>
      </c>
    </row>
    <row r="12" spans="1:14" x14ac:dyDescent="0.3">
      <c r="A12" s="9" t="s">
        <v>302</v>
      </c>
      <c r="B12" s="16">
        <f>B2*Inputs!$B$48</f>
        <v>0</v>
      </c>
      <c r="C12" s="16">
        <f>C2*Inputs!$B$48</f>
        <v>0</v>
      </c>
      <c r="D12" s="16">
        <f>D2*Inputs!$B$48</f>
        <v>0</v>
      </c>
      <c r="E12" s="16">
        <f>E2*Inputs!$B$48</f>
        <v>0</v>
      </c>
      <c r="F12" s="16">
        <f>F2*Inputs!$B$48</f>
        <v>0</v>
      </c>
      <c r="G12" s="16">
        <f>G2*Inputs!$B$48</f>
        <v>0</v>
      </c>
      <c r="H12" s="16">
        <f>H2*Inputs!$B$48</f>
        <v>2000</v>
      </c>
      <c r="I12" s="16">
        <f>I2*Inputs!$B$48</f>
        <v>2750</v>
      </c>
      <c r="J12" s="16">
        <f>J2*Inputs!$B$48</f>
        <v>3500</v>
      </c>
      <c r="K12" s="16">
        <f>K2*Inputs!$B$48</f>
        <v>4000</v>
      </c>
      <c r="L12" s="16">
        <f>L2*Inputs!$B$48</f>
        <v>4250</v>
      </c>
      <c r="M12" s="16">
        <f>M2*Inputs!$B$48</f>
        <v>4500</v>
      </c>
    </row>
    <row r="13" spans="1:14" x14ac:dyDescent="0.3">
      <c r="A13" s="9" t="s">
        <v>303</v>
      </c>
      <c r="B13" s="25">
        <f>Inputs!$B$34+Inputs!$B$36+Inputs!$B$38+Inputs!$B$40+Inputs!$B$42+Inputs!$B$44+Inputs!$B$46+Inputs!$B$48</f>
        <v>1</v>
      </c>
    </row>
    <row r="15" spans="1:14" ht="22.05" customHeight="1" x14ac:dyDescent="0.3">
      <c r="A15" s="7" t="s">
        <v>304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3">
      <c r="A16" s="9" t="s">
        <v>305</v>
      </c>
      <c r="B16" s="16">
        <f>B5*(1-Inputs!$B$35)</f>
        <v>0</v>
      </c>
      <c r="C16" s="16">
        <f>C5*(1-Inputs!$B$35)</f>
        <v>0</v>
      </c>
      <c r="D16" s="16">
        <f>D5*(1-Inputs!$B$35)</f>
        <v>0</v>
      </c>
      <c r="E16" s="16">
        <f>E5*(1-Inputs!$B$35)</f>
        <v>0</v>
      </c>
      <c r="F16" s="16">
        <f>F5*(1-Inputs!$B$35)</f>
        <v>0</v>
      </c>
      <c r="G16" s="16">
        <f>G5*(1-Inputs!$B$35)</f>
        <v>0</v>
      </c>
      <c r="H16" s="16">
        <f>H5*(1-Inputs!$B$35)</f>
        <v>8880</v>
      </c>
      <c r="I16" s="16">
        <f>I5*(1-Inputs!$B$35)</f>
        <v>12210</v>
      </c>
      <c r="J16" s="16">
        <f>J5*(1-Inputs!$B$35)</f>
        <v>15540</v>
      </c>
      <c r="K16" s="16">
        <f>K5*(1-Inputs!$B$35)</f>
        <v>17760</v>
      </c>
      <c r="L16" s="16">
        <f>L5*(1-Inputs!$B$35)</f>
        <v>18870</v>
      </c>
      <c r="M16" s="16">
        <f>M5*(1-Inputs!$B$35)</f>
        <v>19980</v>
      </c>
    </row>
    <row r="17" spans="1:14" x14ac:dyDescent="0.3">
      <c r="A17" s="9" t="s">
        <v>306</v>
      </c>
      <c r="B17" s="16">
        <f>B6*(1-Inputs!$B$37)</f>
        <v>0</v>
      </c>
      <c r="C17" s="16">
        <f>C6*(1-Inputs!$B$37)</f>
        <v>0</v>
      </c>
      <c r="D17" s="16">
        <f>D6*(1-Inputs!$B$37)</f>
        <v>0</v>
      </c>
      <c r="E17" s="16">
        <f>E6*(1-Inputs!$B$37)</f>
        <v>0</v>
      </c>
      <c r="F17" s="16">
        <f>F6*(1-Inputs!$B$37)</f>
        <v>0</v>
      </c>
      <c r="G17" s="16">
        <f>G6*(1-Inputs!$B$37)</f>
        <v>0</v>
      </c>
      <c r="H17" s="16">
        <f>H6*(1-Inputs!$B$37)</f>
        <v>4176.0000000000009</v>
      </c>
      <c r="I17" s="16">
        <f>I6*(1-Inputs!$B$37)</f>
        <v>5742.0000000000009</v>
      </c>
      <c r="J17" s="16">
        <f>J6*(1-Inputs!$B$37)</f>
        <v>7308.0000000000009</v>
      </c>
      <c r="K17" s="16">
        <f>K6*(1-Inputs!$B$37)</f>
        <v>8352.0000000000018</v>
      </c>
      <c r="L17" s="16">
        <f>L6*(1-Inputs!$B$37)</f>
        <v>8874.0000000000018</v>
      </c>
      <c r="M17" s="16">
        <f>M6*(1-Inputs!$B$37)</f>
        <v>9396.0000000000018</v>
      </c>
    </row>
    <row r="18" spans="1:14" x14ac:dyDescent="0.3">
      <c r="A18" s="9" t="s">
        <v>307</v>
      </c>
      <c r="B18" s="16">
        <f>B7*(1-Inputs!$B$39)</f>
        <v>0</v>
      </c>
      <c r="C18" s="16">
        <f>C7*(1-Inputs!$B$39)</f>
        <v>0</v>
      </c>
      <c r="D18" s="16">
        <f>D7*(1-Inputs!$B$39)</f>
        <v>0</v>
      </c>
      <c r="E18" s="16">
        <f>E7*(1-Inputs!$B$39)</f>
        <v>0</v>
      </c>
      <c r="F18" s="16">
        <f>F7*(1-Inputs!$B$39)</f>
        <v>0</v>
      </c>
      <c r="G18" s="16">
        <f>G7*(1-Inputs!$B$39)</f>
        <v>0</v>
      </c>
      <c r="H18" s="16">
        <f>H7*(1-Inputs!$B$39)</f>
        <v>2240</v>
      </c>
      <c r="I18" s="16">
        <f>I7*(1-Inputs!$B$39)</f>
        <v>3080</v>
      </c>
      <c r="J18" s="16">
        <f>J7*(1-Inputs!$B$39)</f>
        <v>3919.9999999999995</v>
      </c>
      <c r="K18" s="16">
        <f>K7*(1-Inputs!$B$39)</f>
        <v>4480</v>
      </c>
      <c r="L18" s="16">
        <f>L7*(1-Inputs!$B$39)</f>
        <v>4760</v>
      </c>
      <c r="M18" s="16">
        <f>M7*(1-Inputs!$B$39)</f>
        <v>5040</v>
      </c>
    </row>
    <row r="19" spans="1:14" x14ac:dyDescent="0.3">
      <c r="A19" s="9" t="s">
        <v>308</v>
      </c>
      <c r="B19" s="16">
        <f>B8*(1-Inputs!$B$41)</f>
        <v>0</v>
      </c>
      <c r="C19" s="16">
        <f>C8*(1-Inputs!$B$41)</f>
        <v>0</v>
      </c>
      <c r="D19" s="16">
        <f>D8*(1-Inputs!$B$41)</f>
        <v>0</v>
      </c>
      <c r="E19" s="16">
        <f>E8*(1-Inputs!$B$41)</f>
        <v>0</v>
      </c>
      <c r="F19" s="16">
        <f>F8*(1-Inputs!$B$41)</f>
        <v>0</v>
      </c>
      <c r="G19" s="16">
        <f>G8*(1-Inputs!$B$41)</f>
        <v>0</v>
      </c>
      <c r="H19" s="16">
        <f>H8*(1-Inputs!$B$41)</f>
        <v>2240</v>
      </c>
      <c r="I19" s="16">
        <f>I8*(1-Inputs!$B$41)</f>
        <v>3080</v>
      </c>
      <c r="J19" s="16">
        <f>J8*(1-Inputs!$B$41)</f>
        <v>3919.9999999999995</v>
      </c>
      <c r="K19" s="16">
        <f>K8*(1-Inputs!$B$41)</f>
        <v>4480</v>
      </c>
      <c r="L19" s="16">
        <f>L8*(1-Inputs!$B$41)</f>
        <v>4760</v>
      </c>
      <c r="M19" s="16">
        <f>M8*(1-Inputs!$B$41)</f>
        <v>5040</v>
      </c>
    </row>
    <row r="20" spans="1:14" x14ac:dyDescent="0.3">
      <c r="A20" s="9" t="s">
        <v>309</v>
      </c>
      <c r="B20" s="16">
        <f>B9*(1-Inputs!$B$43)</f>
        <v>0</v>
      </c>
      <c r="C20" s="16">
        <f>C9*(1-Inputs!$B$43)</f>
        <v>0</v>
      </c>
      <c r="D20" s="16">
        <f>D9*(1-Inputs!$B$43)</f>
        <v>0</v>
      </c>
      <c r="E20" s="16">
        <f>E9*(1-Inputs!$B$43)</f>
        <v>0</v>
      </c>
      <c r="F20" s="16">
        <f>F9*(1-Inputs!$B$43)</f>
        <v>0</v>
      </c>
      <c r="G20" s="16">
        <f>G9*(1-Inputs!$B$43)</f>
        <v>0</v>
      </c>
      <c r="H20" s="16">
        <f>H9*(1-Inputs!$B$43)</f>
        <v>1680</v>
      </c>
      <c r="I20" s="16">
        <f>I9*(1-Inputs!$B$43)</f>
        <v>2310</v>
      </c>
      <c r="J20" s="16">
        <f>J9*(1-Inputs!$B$43)</f>
        <v>2940</v>
      </c>
      <c r="K20" s="16">
        <f>K9*(1-Inputs!$B$43)</f>
        <v>3360</v>
      </c>
      <c r="L20" s="16">
        <f>L9*(1-Inputs!$B$43)</f>
        <v>3570</v>
      </c>
      <c r="M20" s="16">
        <f>M9*(1-Inputs!$B$43)</f>
        <v>3779.9999999999995</v>
      </c>
    </row>
    <row r="21" spans="1:14" x14ac:dyDescent="0.3">
      <c r="A21" s="9" t="s">
        <v>310</v>
      </c>
      <c r="B21" s="16">
        <f>B10*(1-Inputs!$B$45)</f>
        <v>0</v>
      </c>
      <c r="C21" s="16">
        <f>C10*(1-Inputs!$B$45)</f>
        <v>0</v>
      </c>
      <c r="D21" s="16">
        <f>D10*(1-Inputs!$B$45)</f>
        <v>0</v>
      </c>
      <c r="E21" s="16">
        <f>E10*(1-Inputs!$B$45)</f>
        <v>0</v>
      </c>
      <c r="F21" s="16">
        <f>F10*(1-Inputs!$B$45)</f>
        <v>0</v>
      </c>
      <c r="G21" s="16">
        <f>G10*(1-Inputs!$B$45)</f>
        <v>0</v>
      </c>
      <c r="H21" s="16">
        <f>H10*(1-Inputs!$B$45)</f>
        <v>4000</v>
      </c>
      <c r="I21" s="16">
        <f>I10*(1-Inputs!$B$45)</f>
        <v>5500</v>
      </c>
      <c r="J21" s="16">
        <f>J10*(1-Inputs!$B$45)</f>
        <v>7000</v>
      </c>
      <c r="K21" s="16">
        <f>K10*(1-Inputs!$B$45)</f>
        <v>8000</v>
      </c>
      <c r="L21" s="16">
        <f>L10*(1-Inputs!$B$45)</f>
        <v>8500</v>
      </c>
      <c r="M21" s="16">
        <f>M10*(1-Inputs!$B$45)</f>
        <v>9000</v>
      </c>
    </row>
    <row r="22" spans="1:14" x14ac:dyDescent="0.3">
      <c r="A22" s="9" t="s">
        <v>311</v>
      </c>
      <c r="B22" s="16">
        <f>B11*(1-Inputs!$B$47)</f>
        <v>0</v>
      </c>
      <c r="C22" s="16">
        <f>C11*(1-Inputs!$B$47)</f>
        <v>0</v>
      </c>
      <c r="D22" s="16">
        <f>D11*(1-Inputs!$B$47)</f>
        <v>0</v>
      </c>
      <c r="E22" s="16">
        <f>E11*(1-Inputs!$B$47)</f>
        <v>0</v>
      </c>
      <c r="F22" s="16">
        <f>F11*(1-Inputs!$B$47)</f>
        <v>0</v>
      </c>
      <c r="G22" s="16">
        <f>G11*(1-Inputs!$B$47)</f>
        <v>0</v>
      </c>
      <c r="H22" s="16">
        <f>H11*(1-Inputs!$B$47)</f>
        <v>1240</v>
      </c>
      <c r="I22" s="16">
        <f>I11*(1-Inputs!$B$47)</f>
        <v>1705</v>
      </c>
      <c r="J22" s="16">
        <f>J11*(1-Inputs!$B$47)</f>
        <v>2170</v>
      </c>
      <c r="K22" s="16">
        <f>K11*(1-Inputs!$B$47)</f>
        <v>2480</v>
      </c>
      <c r="L22" s="16">
        <f>L11*(1-Inputs!$B$47)</f>
        <v>2635</v>
      </c>
      <c r="M22" s="16">
        <f>M11*(1-Inputs!$B$47)</f>
        <v>2790</v>
      </c>
    </row>
    <row r="23" spans="1:14" x14ac:dyDescent="0.3">
      <c r="A23" s="9" t="s">
        <v>312</v>
      </c>
      <c r="B23" s="16">
        <f>B12*(1-Inputs!$B$49)</f>
        <v>0</v>
      </c>
      <c r="C23" s="16">
        <f>C12*(1-Inputs!$B$49)</f>
        <v>0</v>
      </c>
      <c r="D23" s="16">
        <f>D12*(1-Inputs!$B$49)</f>
        <v>0</v>
      </c>
      <c r="E23" s="16">
        <f>E12*(1-Inputs!$B$49)</f>
        <v>0</v>
      </c>
      <c r="F23" s="16">
        <f>F12*(1-Inputs!$B$49)</f>
        <v>0</v>
      </c>
      <c r="G23" s="16">
        <f>G12*(1-Inputs!$B$49)</f>
        <v>0</v>
      </c>
      <c r="H23" s="16">
        <f>H12*(1-Inputs!$B$49)</f>
        <v>1100</v>
      </c>
      <c r="I23" s="16">
        <f>I12*(1-Inputs!$B$49)</f>
        <v>1512.5000000000002</v>
      </c>
      <c r="J23" s="16">
        <f>J12*(1-Inputs!$B$49)</f>
        <v>1925.0000000000002</v>
      </c>
      <c r="K23" s="16">
        <f>K12*(1-Inputs!$B$49)</f>
        <v>2200</v>
      </c>
      <c r="L23" s="16">
        <f>L12*(1-Inputs!$B$49)</f>
        <v>2337.5</v>
      </c>
      <c r="M23" s="16">
        <f>M12*(1-Inputs!$B$49)</f>
        <v>2475</v>
      </c>
    </row>
    <row r="24" spans="1:14" x14ac:dyDescent="0.3">
      <c r="A24" s="22" t="s">
        <v>313</v>
      </c>
      <c r="B24" s="18">
        <f t="shared" ref="B24:M24" si="0">SUM(B16:B23)</f>
        <v>0</v>
      </c>
      <c r="C24" s="18">
        <f t="shared" si="0"/>
        <v>0</v>
      </c>
      <c r="D24" s="18">
        <f t="shared" si="0"/>
        <v>0</v>
      </c>
      <c r="E24" s="18">
        <f t="shared" si="0"/>
        <v>0</v>
      </c>
      <c r="F24" s="18">
        <f t="shared" si="0"/>
        <v>0</v>
      </c>
      <c r="G24" s="18">
        <f t="shared" si="0"/>
        <v>0</v>
      </c>
      <c r="H24" s="18">
        <f t="shared" si="0"/>
        <v>25556</v>
      </c>
      <c r="I24" s="18">
        <f t="shared" si="0"/>
        <v>35139.5</v>
      </c>
      <c r="J24" s="18">
        <f t="shared" si="0"/>
        <v>44723</v>
      </c>
      <c r="K24" s="18">
        <f t="shared" si="0"/>
        <v>51112</v>
      </c>
      <c r="L24" s="18">
        <f t="shared" si="0"/>
        <v>54306.5</v>
      </c>
      <c r="M24" s="18">
        <f t="shared" si="0"/>
        <v>57501</v>
      </c>
      <c r="N24" s="18">
        <f>SUM(B24:M24)</f>
        <v>268338</v>
      </c>
    </row>
    <row r="25" spans="1:14" x14ac:dyDescent="0.3">
      <c r="A25" s="22" t="s">
        <v>314</v>
      </c>
      <c r="B25" s="18">
        <f t="shared" ref="B25:M25" si="1">B2-B24</f>
        <v>0</v>
      </c>
      <c r="C25" s="18">
        <f t="shared" si="1"/>
        <v>0</v>
      </c>
      <c r="D25" s="18">
        <f t="shared" si="1"/>
        <v>0</v>
      </c>
      <c r="E25" s="18">
        <f t="shared" si="1"/>
        <v>0</v>
      </c>
      <c r="F25" s="18">
        <f t="shared" si="1"/>
        <v>0</v>
      </c>
      <c r="G25" s="18">
        <f t="shared" si="1"/>
        <v>0</v>
      </c>
      <c r="H25" s="18">
        <f t="shared" si="1"/>
        <v>14444</v>
      </c>
      <c r="I25" s="18">
        <f t="shared" si="1"/>
        <v>19860.5</v>
      </c>
      <c r="J25" s="18">
        <f t="shared" si="1"/>
        <v>25277</v>
      </c>
      <c r="K25" s="18">
        <f t="shared" si="1"/>
        <v>28888</v>
      </c>
      <c r="L25" s="18">
        <f t="shared" si="1"/>
        <v>30693.5</v>
      </c>
      <c r="M25" s="18">
        <f t="shared" si="1"/>
        <v>32499</v>
      </c>
      <c r="N25" s="18">
        <f>SUM(B25:M25)</f>
        <v>151662</v>
      </c>
    </row>
    <row r="26" spans="1:14" x14ac:dyDescent="0.3">
      <c r="A26" s="9" t="s">
        <v>315</v>
      </c>
      <c r="B26" s="25">
        <f t="shared" ref="B26:N26" si="2">IFERROR(B25/B2,0)</f>
        <v>0</v>
      </c>
      <c r="C26" s="25">
        <f t="shared" si="2"/>
        <v>0</v>
      </c>
      <c r="D26" s="25">
        <f t="shared" si="2"/>
        <v>0</v>
      </c>
      <c r="E26" s="25">
        <f t="shared" si="2"/>
        <v>0</v>
      </c>
      <c r="F26" s="25">
        <f t="shared" si="2"/>
        <v>0</v>
      </c>
      <c r="G26" s="25">
        <f t="shared" si="2"/>
        <v>0</v>
      </c>
      <c r="H26" s="25">
        <f t="shared" si="2"/>
        <v>0.36109999999999998</v>
      </c>
      <c r="I26" s="25">
        <f t="shared" si="2"/>
        <v>0.36109999999999998</v>
      </c>
      <c r="J26" s="25">
        <f t="shared" si="2"/>
        <v>0.36109999999999998</v>
      </c>
      <c r="K26" s="25">
        <f t="shared" si="2"/>
        <v>0.36109999999999998</v>
      </c>
      <c r="L26" s="25">
        <f t="shared" si="2"/>
        <v>0.36109999999999998</v>
      </c>
      <c r="M26" s="25">
        <f t="shared" si="2"/>
        <v>0.36109999999999998</v>
      </c>
      <c r="N26" s="25">
        <f t="shared" si="2"/>
        <v>0.36109999999999998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55555"/>
  </sheetPr>
  <dimension ref="A1:N38"/>
  <sheetViews>
    <sheetView workbookViewId="0">
      <pane xSplit="1" ySplit="2" topLeftCell="B3" activePane="bottomRight" state="frozen"/>
      <selection pane="topRight"/>
      <selection pane="bottomLeft"/>
      <selection pane="bottomRight" activeCell="A6" sqref="A6"/>
    </sheetView>
  </sheetViews>
  <sheetFormatPr defaultRowHeight="14.4" x14ac:dyDescent="0.3"/>
  <cols>
    <col min="1" max="1" width="36" customWidth="1"/>
    <col min="2" max="14" width="12" customWidth="1"/>
  </cols>
  <sheetData>
    <row r="1" spans="1:14" ht="30" customHeight="1" x14ac:dyDescent="0.3">
      <c r="A1" s="6" t="s">
        <v>316</v>
      </c>
      <c r="B1" s="6" t="s">
        <v>264</v>
      </c>
      <c r="C1" s="6" t="s">
        <v>265</v>
      </c>
      <c r="D1" s="6" t="s">
        <v>266</v>
      </c>
      <c r="E1" s="6" t="s">
        <v>267</v>
      </c>
      <c r="F1" s="6" t="s">
        <v>268</v>
      </c>
      <c r="G1" s="6" t="s">
        <v>269</v>
      </c>
      <c r="H1" s="6" t="s">
        <v>270</v>
      </c>
      <c r="I1" s="6" t="s">
        <v>271</v>
      </c>
      <c r="J1" s="6" t="s">
        <v>272</v>
      </c>
      <c r="K1" s="6" t="s">
        <v>273</v>
      </c>
      <c r="L1" s="6" t="s">
        <v>274</v>
      </c>
      <c r="M1" s="6" t="s">
        <v>275</v>
      </c>
      <c r="N1" s="6" t="s">
        <v>276</v>
      </c>
    </row>
    <row r="2" spans="1:14" ht="22.05" customHeight="1" x14ac:dyDescent="0.3">
      <c r="A2" s="7" t="s">
        <v>317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">
      <c r="A3" s="9" t="s">
        <v>318</v>
      </c>
      <c r="B3" s="26">
        <f>'Phase 1 Revenue'!B9</f>
        <v>3250</v>
      </c>
      <c r="C3" s="26">
        <f>'Phase 1 Revenue'!C9</f>
        <v>10920</v>
      </c>
      <c r="D3" s="26">
        <f>'Phase 1 Revenue'!D9</f>
        <v>20800</v>
      </c>
      <c r="E3" s="26">
        <f>'Phase 1 Revenue'!E9</f>
        <v>31460</v>
      </c>
      <c r="F3" s="26">
        <f>'Phase 1 Revenue'!F9</f>
        <v>41600</v>
      </c>
      <c r="G3" s="26">
        <f>'Phase 1 Revenue'!G9</f>
        <v>51220</v>
      </c>
      <c r="H3" s="26">
        <f>'Phase 1 Revenue'!H9</f>
        <v>59670</v>
      </c>
      <c r="I3" s="26">
        <f>'Phase 1 Revenue'!I9</f>
        <v>66430</v>
      </c>
      <c r="J3" s="26">
        <f>'Phase 1 Revenue'!J9</f>
        <v>71630</v>
      </c>
      <c r="K3" s="26">
        <f>'Phase 1 Revenue'!K9</f>
        <v>75270</v>
      </c>
      <c r="L3" s="26">
        <f>'Phase 1 Revenue'!L9</f>
        <v>78000</v>
      </c>
      <c r="M3" s="26">
        <f>'Phase 1 Revenue'!M9</f>
        <v>80600</v>
      </c>
      <c r="N3" s="26">
        <f>'Phase 1 Revenue'!N9</f>
        <v>590850</v>
      </c>
    </row>
    <row r="4" spans="1:14" x14ac:dyDescent="0.3">
      <c r="A4" s="9" t="s">
        <v>319</v>
      </c>
      <c r="B4" s="26">
        <f>'Phase 2 Revenue'!B2</f>
        <v>0</v>
      </c>
      <c r="C4" s="26">
        <f>'Phase 2 Revenue'!C2</f>
        <v>0</v>
      </c>
      <c r="D4" s="26">
        <f>'Phase 2 Revenue'!D2</f>
        <v>0</v>
      </c>
      <c r="E4" s="26">
        <f>'Phase 2 Revenue'!E2</f>
        <v>0</v>
      </c>
      <c r="F4" s="26">
        <f>'Phase 2 Revenue'!F2</f>
        <v>0</v>
      </c>
      <c r="G4" s="26">
        <f>'Phase 2 Revenue'!G2</f>
        <v>0</v>
      </c>
      <c r="H4" s="26">
        <f>'Phase 2 Revenue'!H2</f>
        <v>40000</v>
      </c>
      <c r="I4" s="26">
        <f>'Phase 2 Revenue'!I2</f>
        <v>55000</v>
      </c>
      <c r="J4" s="26">
        <f>'Phase 2 Revenue'!J2</f>
        <v>70000</v>
      </c>
      <c r="K4" s="26">
        <f>'Phase 2 Revenue'!K2</f>
        <v>80000</v>
      </c>
      <c r="L4" s="26">
        <f>'Phase 2 Revenue'!L2</f>
        <v>85000</v>
      </c>
      <c r="M4" s="26">
        <f>'Phase 2 Revenue'!M2</f>
        <v>90000</v>
      </c>
      <c r="N4" s="26">
        <f>'Phase 2 Revenue'!N2</f>
        <v>420000</v>
      </c>
    </row>
    <row r="5" spans="1:14" x14ac:dyDescent="0.3">
      <c r="A5" s="22" t="s">
        <v>320</v>
      </c>
      <c r="B5" s="18">
        <f t="shared" ref="B5:N5" si="0">B3+B4</f>
        <v>3250</v>
      </c>
      <c r="C5" s="18">
        <f t="shared" si="0"/>
        <v>10920</v>
      </c>
      <c r="D5" s="18">
        <f t="shared" si="0"/>
        <v>20800</v>
      </c>
      <c r="E5" s="18">
        <f t="shared" si="0"/>
        <v>31460</v>
      </c>
      <c r="F5" s="18">
        <f t="shared" si="0"/>
        <v>41600</v>
      </c>
      <c r="G5" s="18">
        <f t="shared" si="0"/>
        <v>51220</v>
      </c>
      <c r="H5" s="18">
        <f t="shared" si="0"/>
        <v>99670</v>
      </c>
      <c r="I5" s="18">
        <f t="shared" si="0"/>
        <v>121430</v>
      </c>
      <c r="J5" s="18">
        <f t="shared" si="0"/>
        <v>141630</v>
      </c>
      <c r="K5" s="18">
        <f t="shared" si="0"/>
        <v>155270</v>
      </c>
      <c r="L5" s="18">
        <f t="shared" si="0"/>
        <v>163000</v>
      </c>
      <c r="M5" s="18">
        <f t="shared" si="0"/>
        <v>170600</v>
      </c>
      <c r="N5" s="18">
        <f t="shared" si="0"/>
        <v>1010850</v>
      </c>
    </row>
    <row r="7" spans="1:14" ht="22.05" customHeight="1" x14ac:dyDescent="0.3">
      <c r="A7" s="7" t="s">
        <v>321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3">
      <c r="A8" s="9" t="s">
        <v>322</v>
      </c>
      <c r="B8" s="26">
        <f>'Phase 1 Revenue'!B10</f>
        <v>2437.5</v>
      </c>
      <c r="C8" s="26">
        <f>'Phase 1 Revenue'!C10</f>
        <v>8190</v>
      </c>
      <c r="D8" s="26">
        <f>'Phase 1 Revenue'!D10</f>
        <v>15600</v>
      </c>
      <c r="E8" s="26">
        <f>'Phase 1 Revenue'!E10</f>
        <v>23595</v>
      </c>
      <c r="F8" s="26">
        <f>'Phase 1 Revenue'!F10</f>
        <v>31200</v>
      </c>
      <c r="G8" s="26">
        <f>'Phase 1 Revenue'!G10</f>
        <v>38415</v>
      </c>
      <c r="H8" s="26">
        <f>'Phase 1 Revenue'!H10</f>
        <v>44752.5</v>
      </c>
      <c r="I8" s="26">
        <f>'Phase 1 Revenue'!I10</f>
        <v>49822.5</v>
      </c>
      <c r="J8" s="26">
        <f>'Phase 1 Revenue'!J10</f>
        <v>53722.5</v>
      </c>
      <c r="K8" s="26">
        <f>'Phase 1 Revenue'!K10</f>
        <v>56452.5</v>
      </c>
      <c r="L8" s="26">
        <f>'Phase 1 Revenue'!L10</f>
        <v>58500</v>
      </c>
      <c r="M8" s="26">
        <f>'Phase 1 Revenue'!M10</f>
        <v>60450</v>
      </c>
      <c r="N8" s="26">
        <f>'Phase 1 Revenue'!N10</f>
        <v>443137.5</v>
      </c>
    </row>
    <row r="9" spans="1:14" x14ac:dyDescent="0.3">
      <c r="A9" s="9" t="s">
        <v>323</v>
      </c>
      <c r="B9" s="26">
        <f>'Phase 2 Revenue'!B24</f>
        <v>0</v>
      </c>
      <c r="C9" s="26">
        <f>'Phase 2 Revenue'!C24</f>
        <v>0</v>
      </c>
      <c r="D9" s="26">
        <f>'Phase 2 Revenue'!D24</f>
        <v>0</v>
      </c>
      <c r="E9" s="26">
        <f>'Phase 2 Revenue'!E24</f>
        <v>0</v>
      </c>
      <c r="F9" s="26">
        <f>'Phase 2 Revenue'!F24</f>
        <v>0</v>
      </c>
      <c r="G9" s="26">
        <f>'Phase 2 Revenue'!G24</f>
        <v>0</v>
      </c>
      <c r="H9" s="26">
        <f>'Phase 2 Revenue'!H24</f>
        <v>25556</v>
      </c>
      <c r="I9" s="26">
        <f>'Phase 2 Revenue'!I24</f>
        <v>35139.5</v>
      </c>
      <c r="J9" s="26">
        <f>'Phase 2 Revenue'!J24</f>
        <v>44723</v>
      </c>
      <c r="K9" s="26">
        <f>'Phase 2 Revenue'!K24</f>
        <v>51112</v>
      </c>
      <c r="L9" s="26">
        <f>'Phase 2 Revenue'!L24</f>
        <v>54306.5</v>
      </c>
      <c r="M9" s="26">
        <f>'Phase 2 Revenue'!M24</f>
        <v>57501</v>
      </c>
      <c r="N9" s="26">
        <f>'Phase 2 Revenue'!N24</f>
        <v>268338</v>
      </c>
    </row>
    <row r="10" spans="1:14" x14ac:dyDescent="0.3">
      <c r="A10" s="22" t="s">
        <v>324</v>
      </c>
      <c r="B10" s="18">
        <f t="shared" ref="B10:N10" si="1">B8+B9</f>
        <v>2437.5</v>
      </c>
      <c r="C10" s="18">
        <f t="shared" si="1"/>
        <v>8190</v>
      </c>
      <c r="D10" s="18">
        <f t="shared" si="1"/>
        <v>15600</v>
      </c>
      <c r="E10" s="18">
        <f t="shared" si="1"/>
        <v>23595</v>
      </c>
      <c r="F10" s="18">
        <f t="shared" si="1"/>
        <v>31200</v>
      </c>
      <c r="G10" s="18">
        <f t="shared" si="1"/>
        <v>38415</v>
      </c>
      <c r="H10" s="18">
        <f t="shared" si="1"/>
        <v>70308.5</v>
      </c>
      <c r="I10" s="18">
        <f t="shared" si="1"/>
        <v>84962</v>
      </c>
      <c r="J10" s="18">
        <f t="shared" si="1"/>
        <v>98445.5</v>
      </c>
      <c r="K10" s="18">
        <f t="shared" si="1"/>
        <v>107564.5</v>
      </c>
      <c r="L10" s="18">
        <f t="shared" si="1"/>
        <v>112806.5</v>
      </c>
      <c r="M10" s="18">
        <f t="shared" si="1"/>
        <v>117951</v>
      </c>
      <c r="N10" s="18">
        <f t="shared" si="1"/>
        <v>711475.5</v>
      </c>
    </row>
    <row r="11" spans="1:14" x14ac:dyDescent="0.3">
      <c r="A11" s="22" t="s">
        <v>286</v>
      </c>
      <c r="B11" s="18">
        <f t="shared" ref="B11:N11" si="2">B5-B10</f>
        <v>812.5</v>
      </c>
      <c r="C11" s="18">
        <f t="shared" si="2"/>
        <v>2730</v>
      </c>
      <c r="D11" s="18">
        <f t="shared" si="2"/>
        <v>5200</v>
      </c>
      <c r="E11" s="18">
        <f t="shared" si="2"/>
        <v>7865</v>
      </c>
      <c r="F11" s="18">
        <f t="shared" si="2"/>
        <v>10400</v>
      </c>
      <c r="G11" s="18">
        <f t="shared" si="2"/>
        <v>12805</v>
      </c>
      <c r="H11" s="18">
        <f t="shared" si="2"/>
        <v>29361.5</v>
      </c>
      <c r="I11" s="18">
        <f t="shared" si="2"/>
        <v>36468</v>
      </c>
      <c r="J11" s="18">
        <f t="shared" si="2"/>
        <v>43184.5</v>
      </c>
      <c r="K11" s="18">
        <f t="shared" si="2"/>
        <v>47705.5</v>
      </c>
      <c r="L11" s="18">
        <f t="shared" si="2"/>
        <v>50193.5</v>
      </c>
      <c r="M11" s="18">
        <f t="shared" si="2"/>
        <v>52649</v>
      </c>
      <c r="N11" s="18">
        <f t="shared" si="2"/>
        <v>299374.5</v>
      </c>
    </row>
    <row r="12" spans="1:14" x14ac:dyDescent="0.3">
      <c r="A12" s="9" t="s">
        <v>325</v>
      </c>
      <c r="B12" s="25">
        <f t="shared" ref="B12:N12" si="3">IFERROR(B11/B5,0)</f>
        <v>0.25</v>
      </c>
      <c r="C12" s="25">
        <f t="shared" si="3"/>
        <v>0.25</v>
      </c>
      <c r="D12" s="25">
        <f t="shared" si="3"/>
        <v>0.25</v>
      </c>
      <c r="E12" s="25">
        <f t="shared" si="3"/>
        <v>0.25</v>
      </c>
      <c r="F12" s="25">
        <f t="shared" si="3"/>
        <v>0.25</v>
      </c>
      <c r="G12" s="25">
        <f t="shared" si="3"/>
        <v>0.25</v>
      </c>
      <c r="H12" s="25">
        <f t="shared" si="3"/>
        <v>0.29458713755392796</v>
      </c>
      <c r="I12" s="25">
        <f t="shared" si="3"/>
        <v>0.30032117269208597</v>
      </c>
      <c r="J12" s="25">
        <f t="shared" si="3"/>
        <v>0.30491068276495092</v>
      </c>
      <c r="K12" s="25">
        <f t="shared" si="3"/>
        <v>0.30724222322406131</v>
      </c>
      <c r="L12" s="25">
        <f t="shared" si="3"/>
        <v>0.30793558282208588</v>
      </c>
      <c r="M12" s="25">
        <f t="shared" si="3"/>
        <v>0.30861078546307152</v>
      </c>
      <c r="N12" s="25">
        <f t="shared" si="3"/>
        <v>0.29616115150615818</v>
      </c>
    </row>
    <row r="14" spans="1:14" ht="22.05" customHeight="1" x14ac:dyDescent="0.3">
      <c r="A14" s="7" t="s">
        <v>326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">
      <c r="A15" s="9" t="s">
        <v>327</v>
      </c>
      <c r="B15" s="16">
        <f>Inputs!$B$61*Inputs!$B$59*Inputs!$B$60</f>
        <v>15916</v>
      </c>
      <c r="C15" s="16">
        <f>Inputs!$B$61*Inputs!$B$59*Inputs!$B$60</f>
        <v>15916</v>
      </c>
      <c r="D15" s="16">
        <f>Inputs!$B$61*Inputs!$B$59*Inputs!$B$60</f>
        <v>15916</v>
      </c>
      <c r="E15" s="16">
        <f>Inputs!$B$62*Inputs!$B$59*Inputs!$B$60</f>
        <v>19099.199999999997</v>
      </c>
      <c r="F15" s="16">
        <f>Inputs!$B$62*Inputs!$B$59*Inputs!$B$60</f>
        <v>19099.199999999997</v>
      </c>
      <c r="G15" s="16">
        <f>Inputs!$B$62*Inputs!$B$59*Inputs!$B$60</f>
        <v>19099.199999999997</v>
      </c>
      <c r="H15" s="16">
        <f>Inputs!$B$63*Inputs!$B$59*Inputs!$B$60</f>
        <v>25465.599999999999</v>
      </c>
      <c r="I15" s="16">
        <f>Inputs!$B$63*Inputs!$B$59*Inputs!$B$60</f>
        <v>25465.599999999999</v>
      </c>
      <c r="J15" s="16">
        <f>Inputs!$B$63*Inputs!$B$59*Inputs!$B$60</f>
        <v>25465.599999999999</v>
      </c>
      <c r="K15" s="16">
        <f>Inputs!$B$64*Inputs!$B$59*Inputs!$B$60</f>
        <v>28648.799999999999</v>
      </c>
      <c r="L15" s="16">
        <f>Inputs!$B$64*Inputs!$B$59*Inputs!$B$60</f>
        <v>28648.799999999999</v>
      </c>
      <c r="M15" s="16">
        <f>Inputs!$B$64*Inputs!$B$59*Inputs!$B$60</f>
        <v>28648.799999999999</v>
      </c>
      <c r="N15" s="16">
        <f>SUM(B15:M15)</f>
        <v>267388.79999999999</v>
      </c>
    </row>
    <row r="16" spans="1:14" ht="28.8" x14ac:dyDescent="0.3">
      <c r="A16" s="9" t="s">
        <v>328</v>
      </c>
      <c r="B16" s="16">
        <f t="shared" ref="B16:M16" si="4">$N16/12</f>
        <v>-12500</v>
      </c>
      <c r="C16" s="16">
        <f t="shared" si="4"/>
        <v>-12500</v>
      </c>
      <c r="D16" s="16">
        <f t="shared" si="4"/>
        <v>-12500</v>
      </c>
      <c r="E16" s="16">
        <f t="shared" si="4"/>
        <v>-12500</v>
      </c>
      <c r="F16" s="16">
        <f t="shared" si="4"/>
        <v>-12500</v>
      </c>
      <c r="G16" s="16">
        <f t="shared" si="4"/>
        <v>-12500</v>
      </c>
      <c r="H16" s="16">
        <f t="shared" si="4"/>
        <v>-12500</v>
      </c>
      <c r="I16" s="16">
        <f t="shared" si="4"/>
        <v>-12500</v>
      </c>
      <c r="J16" s="16">
        <f t="shared" si="4"/>
        <v>-12500</v>
      </c>
      <c r="K16" s="16">
        <f t="shared" si="4"/>
        <v>-12500</v>
      </c>
      <c r="L16" s="16">
        <f t="shared" si="4"/>
        <v>-12500</v>
      </c>
      <c r="M16" s="16">
        <f t="shared" si="4"/>
        <v>-12500</v>
      </c>
      <c r="N16" s="16">
        <f>-(Inputs!$B$81+Inputs!$B$82)</f>
        <v>-150000</v>
      </c>
    </row>
    <row r="17" spans="1:14" x14ac:dyDescent="0.3">
      <c r="A17" s="9" t="s">
        <v>329</v>
      </c>
      <c r="B17" s="16">
        <f t="shared" ref="B17:N17" si="5">B15+B16</f>
        <v>3416</v>
      </c>
      <c r="C17" s="16">
        <f t="shared" si="5"/>
        <v>3416</v>
      </c>
      <c r="D17" s="16">
        <f t="shared" si="5"/>
        <v>3416</v>
      </c>
      <c r="E17" s="16">
        <f t="shared" si="5"/>
        <v>6599.1999999999971</v>
      </c>
      <c r="F17" s="16">
        <f t="shared" si="5"/>
        <v>6599.1999999999971</v>
      </c>
      <c r="G17" s="16">
        <f t="shared" si="5"/>
        <v>6599.1999999999971</v>
      </c>
      <c r="H17" s="16">
        <f t="shared" si="5"/>
        <v>12965.599999999999</v>
      </c>
      <c r="I17" s="16">
        <f t="shared" si="5"/>
        <v>12965.599999999999</v>
      </c>
      <c r="J17" s="16">
        <f t="shared" si="5"/>
        <v>12965.599999999999</v>
      </c>
      <c r="K17" s="16">
        <f t="shared" si="5"/>
        <v>16148.8</v>
      </c>
      <c r="L17" s="16">
        <f t="shared" si="5"/>
        <v>16148.8</v>
      </c>
      <c r="M17" s="16">
        <f t="shared" si="5"/>
        <v>16148.8</v>
      </c>
      <c r="N17" s="16">
        <f t="shared" si="5"/>
        <v>117388.79999999999</v>
      </c>
    </row>
    <row r="18" spans="1:14" x14ac:dyDescent="0.3">
      <c r="A18" s="9" t="s">
        <v>330</v>
      </c>
      <c r="B18" s="16">
        <f>Inputs!$B$4</f>
        <v>0</v>
      </c>
      <c r="C18" s="16">
        <f>Inputs!$B$4</f>
        <v>0</v>
      </c>
      <c r="D18" s="16">
        <f>Inputs!$B$4</f>
        <v>0</v>
      </c>
      <c r="E18" s="16">
        <f>Inputs!$B$4</f>
        <v>0</v>
      </c>
      <c r="F18" s="16">
        <f>Inputs!$B$4</f>
        <v>0</v>
      </c>
      <c r="G18" s="16">
        <f>Inputs!$B$4</f>
        <v>0</v>
      </c>
      <c r="H18" s="16">
        <f>Inputs!$B$5*Inputs!$B$3/12</f>
        <v>250</v>
      </c>
      <c r="I18" s="16">
        <f>Inputs!$B$5*Inputs!$B$3/12</f>
        <v>250</v>
      </c>
      <c r="J18" s="16">
        <f>Inputs!$B$5*Inputs!$B$3/12</f>
        <v>250</v>
      </c>
      <c r="K18" s="16">
        <f>Inputs!$B$5*Inputs!$B$3/12</f>
        <v>250</v>
      </c>
      <c r="L18" s="16">
        <f>Inputs!$B$5*Inputs!$B$3/12</f>
        <v>250</v>
      </c>
      <c r="M18" s="16">
        <f>Inputs!$B$5*Inputs!$B$3/12</f>
        <v>250</v>
      </c>
      <c r="N18" s="16">
        <f t="shared" ref="N18:N24" si="6">SUM(B18:M18)</f>
        <v>1500</v>
      </c>
    </row>
    <row r="19" spans="1:14" x14ac:dyDescent="0.3">
      <c r="A19" s="9" t="s">
        <v>331</v>
      </c>
      <c r="B19" s="16">
        <f>Inputs!$B$69</f>
        <v>0</v>
      </c>
      <c r="C19" s="16">
        <f>Inputs!$B$69</f>
        <v>0</v>
      </c>
      <c r="D19" s="16">
        <f>Inputs!$B$69</f>
        <v>0</v>
      </c>
      <c r="E19" s="16">
        <f>Inputs!$B$69</f>
        <v>0</v>
      </c>
      <c r="F19" s="16">
        <f>Inputs!$B$69</f>
        <v>0</v>
      </c>
      <c r="G19" s="16">
        <f>Inputs!$B$69</f>
        <v>0</v>
      </c>
      <c r="H19" s="16">
        <f>Inputs!$B$70</f>
        <v>2500</v>
      </c>
      <c r="I19" s="16">
        <f>Inputs!$B$70</f>
        <v>2500</v>
      </c>
      <c r="J19" s="16">
        <f>Inputs!$B$70</f>
        <v>2500</v>
      </c>
      <c r="K19" s="16">
        <f>Inputs!$B$70</f>
        <v>2500</v>
      </c>
      <c r="L19" s="16">
        <f>Inputs!$B$70</f>
        <v>2500</v>
      </c>
      <c r="M19" s="16">
        <f>Inputs!$B$70</f>
        <v>2500</v>
      </c>
      <c r="N19" s="16">
        <f t="shared" si="6"/>
        <v>15000</v>
      </c>
    </row>
    <row r="20" spans="1:14" x14ac:dyDescent="0.3">
      <c r="A20" s="9" t="s">
        <v>332</v>
      </c>
      <c r="B20" s="16">
        <f>Inputs!$B$71/12</f>
        <v>1000</v>
      </c>
      <c r="C20" s="16">
        <f>Inputs!$B$71/12</f>
        <v>1000</v>
      </c>
      <c r="D20" s="16">
        <f>Inputs!$B$71/12</f>
        <v>1000</v>
      </c>
      <c r="E20" s="16">
        <f>Inputs!$B$71/12</f>
        <v>1000</v>
      </c>
      <c r="F20" s="16">
        <f>Inputs!$B$71/12</f>
        <v>1000</v>
      </c>
      <c r="G20" s="16">
        <f>Inputs!$B$71/12</f>
        <v>1000</v>
      </c>
      <c r="H20" s="16">
        <f>Inputs!$B$71/12</f>
        <v>1000</v>
      </c>
      <c r="I20" s="16">
        <f>Inputs!$B$71/12</f>
        <v>1000</v>
      </c>
      <c r="J20" s="16">
        <f>Inputs!$B$71/12</f>
        <v>1000</v>
      </c>
      <c r="K20" s="16">
        <f>Inputs!$B$71/12</f>
        <v>1000</v>
      </c>
      <c r="L20" s="16">
        <f>Inputs!$B$71/12</f>
        <v>1000</v>
      </c>
      <c r="M20" s="16">
        <f>Inputs!$B$71/12</f>
        <v>1000</v>
      </c>
      <c r="N20" s="16">
        <f t="shared" si="6"/>
        <v>12000</v>
      </c>
    </row>
    <row r="21" spans="1:14" x14ac:dyDescent="0.3">
      <c r="A21" s="9" t="s">
        <v>333</v>
      </c>
      <c r="B21" s="16">
        <f>Inputs!$B$72</f>
        <v>600</v>
      </c>
      <c r="C21" s="16">
        <f>Inputs!$B$72</f>
        <v>600</v>
      </c>
      <c r="D21" s="16">
        <f>Inputs!$B$72</f>
        <v>600</v>
      </c>
      <c r="E21" s="16">
        <f>Inputs!$B$72</f>
        <v>600</v>
      </c>
      <c r="F21" s="16">
        <f>Inputs!$B$72</f>
        <v>600</v>
      </c>
      <c r="G21" s="16">
        <f>Inputs!$B$72</f>
        <v>600</v>
      </c>
      <c r="H21" s="16">
        <f>Inputs!$B$72</f>
        <v>600</v>
      </c>
      <c r="I21" s="16">
        <f>Inputs!$B$72</f>
        <v>600</v>
      </c>
      <c r="J21" s="16">
        <f>Inputs!$B$72</f>
        <v>600</v>
      </c>
      <c r="K21" s="16">
        <f>Inputs!$B$72</f>
        <v>600</v>
      </c>
      <c r="L21" s="16">
        <f>Inputs!$B$72</f>
        <v>600</v>
      </c>
      <c r="M21" s="16">
        <f>Inputs!$B$72</f>
        <v>600</v>
      </c>
      <c r="N21" s="16">
        <f t="shared" si="6"/>
        <v>7200</v>
      </c>
    </row>
    <row r="22" spans="1:14" x14ac:dyDescent="0.3">
      <c r="A22" s="9" t="s">
        <v>334</v>
      </c>
      <c r="B22" s="16">
        <f>Inputs!$B$73</f>
        <v>700</v>
      </c>
      <c r="C22" s="16">
        <f>Inputs!$B$73</f>
        <v>700</v>
      </c>
      <c r="D22" s="16">
        <f>Inputs!$B$73</f>
        <v>700</v>
      </c>
      <c r="E22" s="16">
        <f>Inputs!$B$73</f>
        <v>700</v>
      </c>
      <c r="F22" s="16">
        <f>Inputs!$B$73</f>
        <v>700</v>
      </c>
      <c r="G22" s="16">
        <f>Inputs!$B$73</f>
        <v>700</v>
      </c>
      <c r="H22" s="16">
        <f>Inputs!$B$73</f>
        <v>700</v>
      </c>
      <c r="I22" s="16">
        <f>Inputs!$B$73</f>
        <v>700</v>
      </c>
      <c r="J22" s="16">
        <f>Inputs!$B$73</f>
        <v>700</v>
      </c>
      <c r="K22" s="16">
        <f>Inputs!$B$73</f>
        <v>700</v>
      </c>
      <c r="L22" s="16">
        <f>Inputs!$B$73</f>
        <v>700</v>
      </c>
      <c r="M22" s="16">
        <f>Inputs!$B$73</f>
        <v>700</v>
      </c>
      <c r="N22" s="16">
        <f t="shared" si="6"/>
        <v>8400</v>
      </c>
    </row>
    <row r="23" spans="1:14" x14ac:dyDescent="0.3">
      <c r="A23" s="9" t="s">
        <v>335</v>
      </c>
      <c r="B23" s="16">
        <f>Inputs!$B$74</f>
        <v>2000</v>
      </c>
      <c r="C23" s="16">
        <f>Inputs!$B$74</f>
        <v>2000</v>
      </c>
      <c r="D23" s="16">
        <f>Inputs!$B$74</f>
        <v>2000</v>
      </c>
      <c r="E23" s="16">
        <f>Inputs!$B$74</f>
        <v>2000</v>
      </c>
      <c r="F23" s="16">
        <f>Inputs!$B$74</f>
        <v>2000</v>
      </c>
      <c r="G23" s="16">
        <f>Inputs!$B$74</f>
        <v>2000</v>
      </c>
      <c r="H23" s="16">
        <f>Inputs!$B$74</f>
        <v>2000</v>
      </c>
      <c r="I23" s="16">
        <f>Inputs!$B$74</f>
        <v>2000</v>
      </c>
      <c r="J23" s="16">
        <f>Inputs!$B$74</f>
        <v>2000</v>
      </c>
      <c r="K23" s="16">
        <f>Inputs!$B$74</f>
        <v>2000</v>
      </c>
      <c r="L23" s="16">
        <f>Inputs!$B$74</f>
        <v>2000</v>
      </c>
      <c r="M23" s="16">
        <f>Inputs!$B$74</f>
        <v>2000</v>
      </c>
      <c r="N23" s="16">
        <f t="shared" si="6"/>
        <v>24000</v>
      </c>
    </row>
    <row r="24" spans="1:14" x14ac:dyDescent="0.3">
      <c r="A24" s="9" t="s">
        <v>336</v>
      </c>
      <c r="B24" s="16">
        <f>Inputs!$B$75</f>
        <v>1500</v>
      </c>
      <c r="C24" s="16">
        <f>Inputs!$B$75</f>
        <v>1500</v>
      </c>
      <c r="D24" s="16">
        <f>Inputs!$B$75</f>
        <v>1500</v>
      </c>
      <c r="E24" s="16">
        <f>Inputs!$B$75</f>
        <v>1500</v>
      </c>
      <c r="F24" s="16">
        <f>Inputs!$B$75</f>
        <v>1500</v>
      </c>
      <c r="G24" s="16">
        <f>Inputs!$B$75</f>
        <v>1500</v>
      </c>
      <c r="H24" s="16">
        <f>Inputs!$B$75</f>
        <v>1500</v>
      </c>
      <c r="I24" s="16">
        <f>Inputs!$B$75</f>
        <v>1500</v>
      </c>
      <c r="J24" s="16">
        <f>Inputs!$B$75</f>
        <v>1500</v>
      </c>
      <c r="K24" s="16">
        <f>Inputs!$B$75</f>
        <v>1500</v>
      </c>
      <c r="L24" s="16">
        <f>Inputs!$B$75</f>
        <v>1500</v>
      </c>
      <c r="M24" s="16">
        <f>Inputs!$B$75</f>
        <v>1500</v>
      </c>
      <c r="N24" s="16">
        <f t="shared" si="6"/>
        <v>18000</v>
      </c>
    </row>
    <row r="25" spans="1:14" x14ac:dyDescent="0.3">
      <c r="A25" s="9" t="s">
        <v>337</v>
      </c>
      <c r="B25" s="26">
        <f>'Phase 1 Revenue'!B12</f>
        <v>292.5</v>
      </c>
      <c r="C25" s="26">
        <f>'Phase 1 Revenue'!C12</f>
        <v>981</v>
      </c>
      <c r="D25" s="26">
        <f>'Phase 1 Revenue'!D12</f>
        <v>1872</v>
      </c>
      <c r="E25" s="26">
        <f>'Phase 1 Revenue'!E12</f>
        <v>2830.5</v>
      </c>
      <c r="F25" s="26">
        <f>'Phase 1 Revenue'!F12</f>
        <v>3744</v>
      </c>
      <c r="G25" s="26">
        <f>'Phase 1 Revenue'!G12</f>
        <v>4608</v>
      </c>
      <c r="H25" s="26">
        <f>'Phase 1 Revenue'!H12</f>
        <v>5368.5</v>
      </c>
      <c r="I25" s="26">
        <f>'Phase 1 Revenue'!I12</f>
        <v>5980.5</v>
      </c>
      <c r="J25" s="26">
        <f>'Phase 1 Revenue'!J12</f>
        <v>6448.5</v>
      </c>
      <c r="K25" s="26">
        <f>'Phase 1 Revenue'!K12</f>
        <v>6772.5</v>
      </c>
      <c r="L25" s="26">
        <f>'Phase 1 Revenue'!L12</f>
        <v>7020</v>
      </c>
      <c r="M25" s="26">
        <f>'Phase 1 Revenue'!M12</f>
        <v>7254</v>
      </c>
      <c r="N25" s="26">
        <f>'Phase 1 Revenue'!N12</f>
        <v>53172</v>
      </c>
    </row>
    <row r="26" spans="1:14" x14ac:dyDescent="0.3">
      <c r="A26" s="9" t="s">
        <v>338</v>
      </c>
      <c r="B26" s="16">
        <f>Inputs!$B$76</f>
        <v>800</v>
      </c>
      <c r="C26" s="16">
        <f>Inputs!$B$76</f>
        <v>800</v>
      </c>
      <c r="D26" s="16">
        <f>Inputs!$B$76</f>
        <v>800</v>
      </c>
      <c r="E26" s="16">
        <f>Inputs!$B$76</f>
        <v>800</v>
      </c>
      <c r="F26" s="16">
        <f>Inputs!$B$76</f>
        <v>800</v>
      </c>
      <c r="G26" s="16">
        <f>Inputs!$B$76</f>
        <v>800</v>
      </c>
      <c r="H26" s="16">
        <f>Inputs!$B$76</f>
        <v>800</v>
      </c>
      <c r="I26" s="16">
        <f>Inputs!$B$76</f>
        <v>800</v>
      </c>
      <c r="J26" s="16">
        <f>Inputs!$B$76</f>
        <v>800</v>
      </c>
      <c r="K26" s="16">
        <f>Inputs!$B$76</f>
        <v>800</v>
      </c>
      <c r="L26" s="16">
        <f>Inputs!$B$76</f>
        <v>800</v>
      </c>
      <c r="M26" s="16">
        <f>Inputs!$B$76</f>
        <v>800</v>
      </c>
      <c r="N26" s="16">
        <f>SUM(B26:M26)</f>
        <v>9600</v>
      </c>
    </row>
    <row r="27" spans="1:14" x14ac:dyDescent="0.3">
      <c r="A27" s="9" t="s">
        <v>339</v>
      </c>
      <c r="B27" s="16">
        <f>B4*Inputs!$B$77</f>
        <v>0</v>
      </c>
      <c r="C27" s="16">
        <f>C4*Inputs!$B$77</f>
        <v>0</v>
      </c>
      <c r="D27" s="16">
        <f>D4*Inputs!$B$77</f>
        <v>0</v>
      </c>
      <c r="E27" s="16">
        <f>E4*Inputs!$B$77</f>
        <v>0</v>
      </c>
      <c r="F27" s="16">
        <f>F4*Inputs!$B$77</f>
        <v>0</v>
      </c>
      <c r="G27" s="16">
        <f>G4*Inputs!$B$77</f>
        <v>0</v>
      </c>
      <c r="H27" s="16">
        <f>H4*Inputs!$B$77</f>
        <v>1200</v>
      </c>
      <c r="I27" s="16">
        <f>I4*Inputs!$B$77</f>
        <v>1650</v>
      </c>
      <c r="J27" s="16">
        <f>J4*Inputs!$B$77</f>
        <v>2100</v>
      </c>
      <c r="K27" s="16">
        <f>K4*Inputs!$B$77</f>
        <v>2400</v>
      </c>
      <c r="L27" s="16">
        <f>L4*Inputs!$B$77</f>
        <v>2550</v>
      </c>
      <c r="M27" s="16">
        <f>M4*Inputs!$B$77</f>
        <v>2700</v>
      </c>
      <c r="N27" s="16">
        <f>N4*Inputs!$B$77</f>
        <v>12600</v>
      </c>
    </row>
    <row r="28" spans="1:14" x14ac:dyDescent="0.3">
      <c r="A28" s="22" t="s">
        <v>340</v>
      </c>
      <c r="B28" s="18">
        <f t="shared" ref="B28:N28" si="7">SUM(B17:B27)</f>
        <v>10308.5</v>
      </c>
      <c r="C28" s="18">
        <f t="shared" si="7"/>
        <v>10997</v>
      </c>
      <c r="D28" s="18">
        <f t="shared" si="7"/>
        <v>11888</v>
      </c>
      <c r="E28" s="18">
        <f t="shared" si="7"/>
        <v>16029.699999999997</v>
      </c>
      <c r="F28" s="18">
        <f t="shared" si="7"/>
        <v>16943.199999999997</v>
      </c>
      <c r="G28" s="18">
        <f t="shared" si="7"/>
        <v>17807.199999999997</v>
      </c>
      <c r="H28" s="18">
        <f t="shared" si="7"/>
        <v>28884.1</v>
      </c>
      <c r="I28" s="18">
        <f t="shared" si="7"/>
        <v>29946.1</v>
      </c>
      <c r="J28" s="18">
        <f t="shared" si="7"/>
        <v>30864.1</v>
      </c>
      <c r="K28" s="18">
        <f t="shared" si="7"/>
        <v>34671.300000000003</v>
      </c>
      <c r="L28" s="18">
        <f t="shared" si="7"/>
        <v>35068.800000000003</v>
      </c>
      <c r="M28" s="18">
        <f t="shared" si="7"/>
        <v>35452.800000000003</v>
      </c>
      <c r="N28" s="18">
        <f t="shared" si="7"/>
        <v>278860.79999999999</v>
      </c>
    </row>
    <row r="30" spans="1:14" x14ac:dyDescent="0.3">
      <c r="A30" s="22" t="s">
        <v>341</v>
      </c>
      <c r="B30" s="18">
        <f t="shared" ref="B30:N30" si="8">B11-B28</f>
        <v>-9496</v>
      </c>
      <c r="C30" s="18">
        <f t="shared" si="8"/>
        <v>-8267</v>
      </c>
      <c r="D30" s="18">
        <f t="shared" si="8"/>
        <v>-6688</v>
      </c>
      <c r="E30" s="18">
        <f t="shared" si="8"/>
        <v>-8164.6999999999971</v>
      </c>
      <c r="F30" s="18">
        <f t="shared" si="8"/>
        <v>-6543.1999999999971</v>
      </c>
      <c r="G30" s="18">
        <f t="shared" si="8"/>
        <v>-5002.1999999999971</v>
      </c>
      <c r="H30" s="18">
        <f t="shared" si="8"/>
        <v>477.40000000000146</v>
      </c>
      <c r="I30" s="18">
        <f t="shared" si="8"/>
        <v>6521.9000000000015</v>
      </c>
      <c r="J30" s="18">
        <f t="shared" si="8"/>
        <v>12320.400000000001</v>
      </c>
      <c r="K30" s="18">
        <f t="shared" si="8"/>
        <v>13034.199999999997</v>
      </c>
      <c r="L30" s="18">
        <f t="shared" si="8"/>
        <v>15124.699999999997</v>
      </c>
      <c r="M30" s="18">
        <f t="shared" si="8"/>
        <v>17196.199999999997</v>
      </c>
      <c r="N30" s="18">
        <f t="shared" si="8"/>
        <v>20513.700000000012</v>
      </c>
    </row>
    <row r="31" spans="1:14" x14ac:dyDescent="0.3">
      <c r="A31" s="9" t="s">
        <v>342</v>
      </c>
      <c r="B31" s="25">
        <f t="shared" ref="B31:N31" si="9">IFERROR(B30/B5,0)</f>
        <v>-2.921846153846154</v>
      </c>
      <c r="C31" s="25">
        <f t="shared" si="9"/>
        <v>-0.75705128205128203</v>
      </c>
      <c r="D31" s="25">
        <f t="shared" si="9"/>
        <v>-0.32153846153846155</v>
      </c>
      <c r="E31" s="25">
        <f t="shared" si="9"/>
        <v>-0.25952638270820078</v>
      </c>
      <c r="F31" s="25">
        <f t="shared" si="9"/>
        <v>-0.15728846153846146</v>
      </c>
      <c r="G31" s="25">
        <f t="shared" si="9"/>
        <v>-9.7661069894572378E-2</v>
      </c>
      <c r="H31" s="25">
        <f t="shared" si="9"/>
        <v>4.7898063609912861E-3</v>
      </c>
      <c r="I31" s="25">
        <f t="shared" si="9"/>
        <v>5.3709132833731382E-2</v>
      </c>
      <c r="J31" s="25">
        <f t="shared" si="9"/>
        <v>8.6990044482101264E-2</v>
      </c>
      <c r="K31" s="25">
        <f t="shared" si="9"/>
        <v>8.3945385457589991E-2</v>
      </c>
      <c r="L31" s="25">
        <f t="shared" si="9"/>
        <v>9.2789570552147219E-2</v>
      </c>
      <c r="M31" s="25">
        <f t="shared" si="9"/>
        <v>0.10079835873388041</v>
      </c>
      <c r="N31" s="25">
        <f t="shared" si="9"/>
        <v>2.0293515358361786E-2</v>
      </c>
    </row>
    <row r="33" spans="1:14" ht="22.05" customHeight="1" x14ac:dyDescent="0.3">
      <c r="A33" s="7" t="s">
        <v>343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3">
      <c r="A34" s="9" t="s">
        <v>344</v>
      </c>
      <c r="B34" s="16">
        <f>1200</f>
        <v>1200</v>
      </c>
      <c r="C34" s="16">
        <f>1200</f>
        <v>1200</v>
      </c>
      <c r="D34" s="16">
        <f>1200</f>
        <v>1200</v>
      </c>
      <c r="E34" s="16">
        <f>1200</f>
        <v>1200</v>
      </c>
      <c r="F34" s="16">
        <f>1200</f>
        <v>1200</v>
      </c>
      <c r="G34" s="16">
        <f>1200</f>
        <v>1200</v>
      </c>
      <c r="H34" s="16">
        <f>1200</f>
        <v>1200</v>
      </c>
      <c r="I34" s="16">
        <f>1200</f>
        <v>1200</v>
      </c>
      <c r="J34" s="16">
        <f>1200</f>
        <v>1200</v>
      </c>
      <c r="K34" s="16">
        <f>1200</f>
        <v>1200</v>
      </c>
      <c r="L34" s="16">
        <f>1200</f>
        <v>1200</v>
      </c>
      <c r="M34" s="16">
        <f>1200</f>
        <v>1200</v>
      </c>
      <c r="N34" s="16">
        <f>SUM(B34:M34)</f>
        <v>14400</v>
      </c>
    </row>
    <row r="35" spans="1:14" x14ac:dyDescent="0.3">
      <c r="A35" s="9" t="s">
        <v>345</v>
      </c>
      <c r="B35" s="16">
        <f>(Inputs!$B$83+Inputs!$B$84)*Inputs!$B$89/12</f>
        <v>2250</v>
      </c>
      <c r="C35" s="16">
        <f>(Inputs!$B$83+Inputs!$B$84)*Inputs!$B$89/12</f>
        <v>2250</v>
      </c>
      <c r="D35" s="16">
        <f>(Inputs!$B$83+Inputs!$B$84)*Inputs!$B$89/12</f>
        <v>2250</v>
      </c>
      <c r="E35" s="16">
        <f>(Inputs!$B$83+Inputs!$B$84)*Inputs!$B$89/12</f>
        <v>2250</v>
      </c>
      <c r="F35" s="16">
        <f>(Inputs!$B$83+Inputs!$B$84)*Inputs!$B$89/12</f>
        <v>2250</v>
      </c>
      <c r="G35" s="16">
        <f>(Inputs!$B$83+Inputs!$B$84)*Inputs!$B$89/12</f>
        <v>2250</v>
      </c>
      <c r="H35" s="16">
        <f>(Inputs!$B$83+Inputs!$B$84)*Inputs!$B$89/12</f>
        <v>2250</v>
      </c>
      <c r="I35" s="16">
        <f>(Inputs!$B$83+Inputs!$B$84)*Inputs!$B$89/12</f>
        <v>2250</v>
      </c>
      <c r="J35" s="16">
        <f>(Inputs!$B$83+Inputs!$B$84)*Inputs!$B$89/12</f>
        <v>2250</v>
      </c>
      <c r="K35" s="16">
        <f>(Inputs!$B$83+Inputs!$B$84)*Inputs!$B$89/12</f>
        <v>2250</v>
      </c>
      <c r="L35" s="16">
        <f>(Inputs!$B$83+Inputs!$B$84)*Inputs!$B$89/12</f>
        <v>2250</v>
      </c>
      <c r="M35" s="16">
        <f>(Inputs!$B$83+Inputs!$B$84)*Inputs!$B$89/12</f>
        <v>2250</v>
      </c>
      <c r="N35" s="16">
        <f>SUM(B35:M35)</f>
        <v>27000</v>
      </c>
    </row>
    <row r="36" spans="1:14" x14ac:dyDescent="0.3">
      <c r="A36" s="9" t="s">
        <v>346</v>
      </c>
      <c r="B36" s="16">
        <f>Inputs!$B$91*Inputs!$B$88/12</f>
        <v>425</v>
      </c>
      <c r="C36" s="16">
        <f>Inputs!$B$91*Inputs!$B$88/12</f>
        <v>425</v>
      </c>
      <c r="D36" s="16">
        <f>Inputs!$B$91*Inputs!$B$88/12</f>
        <v>425</v>
      </c>
      <c r="E36" s="16">
        <f>Inputs!$B$91*Inputs!$B$88/12</f>
        <v>425</v>
      </c>
      <c r="F36" s="16">
        <f>Inputs!$B$91*Inputs!$B$88/12</f>
        <v>425</v>
      </c>
      <c r="G36" s="16">
        <f>Inputs!$B$91*Inputs!$B$88/12</f>
        <v>425</v>
      </c>
      <c r="H36" s="16">
        <f>Inputs!$B$91*Inputs!$B$88/12</f>
        <v>425</v>
      </c>
      <c r="I36" s="16">
        <f>Inputs!$B$91*Inputs!$B$88/12</f>
        <v>425</v>
      </c>
      <c r="J36" s="16">
        <f>Inputs!$B$91*Inputs!$B$88/12</f>
        <v>425</v>
      </c>
      <c r="K36" s="16">
        <f>Inputs!$B$91*Inputs!$B$88/12</f>
        <v>425</v>
      </c>
      <c r="L36" s="16">
        <f>Inputs!$B$91*Inputs!$B$88/12</f>
        <v>425</v>
      </c>
      <c r="M36" s="16">
        <f>Inputs!$B$91*Inputs!$B$88/12</f>
        <v>425</v>
      </c>
      <c r="N36" s="16">
        <f>SUM(B36:M36)</f>
        <v>5100</v>
      </c>
    </row>
    <row r="38" spans="1:14" x14ac:dyDescent="0.3">
      <c r="A38" s="22" t="s">
        <v>347</v>
      </c>
      <c r="B38" s="18">
        <f t="shared" ref="B38:N38" si="10">B30-B34-B35-B36</f>
        <v>-13371</v>
      </c>
      <c r="C38" s="18">
        <f t="shared" si="10"/>
        <v>-12142</v>
      </c>
      <c r="D38" s="18">
        <f t="shared" si="10"/>
        <v>-10563</v>
      </c>
      <c r="E38" s="18">
        <f t="shared" si="10"/>
        <v>-12039.699999999997</v>
      </c>
      <c r="F38" s="18">
        <f t="shared" si="10"/>
        <v>-10418.199999999997</v>
      </c>
      <c r="G38" s="18">
        <f t="shared" si="10"/>
        <v>-8877.1999999999971</v>
      </c>
      <c r="H38" s="18">
        <f t="shared" si="10"/>
        <v>-3397.5999999999985</v>
      </c>
      <c r="I38" s="18">
        <f t="shared" si="10"/>
        <v>2646.9000000000015</v>
      </c>
      <c r="J38" s="18">
        <f t="shared" si="10"/>
        <v>8445.4000000000015</v>
      </c>
      <c r="K38" s="18">
        <f t="shared" si="10"/>
        <v>9159.1999999999971</v>
      </c>
      <c r="L38" s="18">
        <f t="shared" si="10"/>
        <v>11249.699999999997</v>
      </c>
      <c r="M38" s="18">
        <f t="shared" si="10"/>
        <v>13321.199999999997</v>
      </c>
      <c r="N38" s="18">
        <f t="shared" si="10"/>
        <v>-25986.299999999988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5555"/>
  </sheetPr>
  <dimension ref="A1:P28"/>
  <sheetViews>
    <sheetView tabSelected="1" workbookViewId="0">
      <pane xSplit="1" ySplit="2" topLeftCell="B14" activePane="bottomRight" state="frozen"/>
      <selection pane="topRight"/>
      <selection pane="bottomLeft"/>
      <selection pane="bottomRight" activeCell="F13" sqref="F13"/>
    </sheetView>
  </sheetViews>
  <sheetFormatPr defaultRowHeight="14.4" x14ac:dyDescent="0.3"/>
  <cols>
    <col min="1" max="1" width="38" customWidth="1"/>
    <col min="2" max="16" width="13" customWidth="1"/>
    <col min="17" max="17" width="3" customWidth="1"/>
  </cols>
  <sheetData>
    <row r="1" spans="1:16" ht="22.05" customHeight="1" x14ac:dyDescent="0.3">
      <c r="B1" s="44" t="s">
        <v>348</v>
      </c>
      <c r="C1" s="43"/>
      <c r="D1" s="43"/>
      <c r="E1" s="43"/>
      <c r="F1" s="43"/>
      <c r="G1" s="45" t="s">
        <v>349</v>
      </c>
      <c r="H1" s="43"/>
      <c r="I1" s="43"/>
      <c r="J1" s="43"/>
      <c r="K1" s="43"/>
      <c r="L1" s="42" t="s">
        <v>350</v>
      </c>
      <c r="M1" s="43"/>
      <c r="N1" s="43"/>
      <c r="O1" s="43"/>
      <c r="P1" s="43"/>
    </row>
    <row r="2" spans="1:16" ht="22.05" customHeight="1" x14ac:dyDescent="0.3">
      <c r="A2" s="27" t="s">
        <v>351</v>
      </c>
      <c r="B2" s="27" t="s">
        <v>352</v>
      </c>
      <c r="C2" s="27" t="s">
        <v>353</v>
      </c>
      <c r="D2" s="27" t="s">
        <v>354</v>
      </c>
      <c r="E2" s="27" t="s">
        <v>355</v>
      </c>
      <c r="F2" s="27" t="s">
        <v>356</v>
      </c>
      <c r="G2" s="28" t="s">
        <v>352</v>
      </c>
      <c r="H2" s="28" t="s">
        <v>353</v>
      </c>
      <c r="I2" s="28" t="s">
        <v>354</v>
      </c>
      <c r="J2" s="28" t="s">
        <v>355</v>
      </c>
      <c r="K2" s="28" t="s">
        <v>356</v>
      </c>
      <c r="L2" s="29" t="s">
        <v>352</v>
      </c>
      <c r="M2" s="29" t="s">
        <v>353</v>
      </c>
      <c r="N2" s="29" t="s">
        <v>354</v>
      </c>
      <c r="O2" s="29" t="s">
        <v>355</v>
      </c>
      <c r="P2" s="29" t="s">
        <v>356</v>
      </c>
    </row>
    <row r="4" spans="1:16" ht="22.05" customHeight="1" x14ac:dyDescent="0.3">
      <c r="A4" s="7" t="s">
        <v>317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3">
      <c r="A5" s="9" t="s">
        <v>357</v>
      </c>
      <c r="B5" s="26">
        <f>'Phase 1 Revenue'!N9</f>
        <v>590850</v>
      </c>
      <c r="C5" s="16">
        <f>Inputs!$B$54*Inputs!$B$11*Inputs!$B$9*12*(1+Inputs!$B$13)</f>
        <v>1092000</v>
      </c>
      <c r="D5" s="16">
        <f>Inputs!$B$55*Inputs!$B$11*Inputs!$B$9*12*(1+Inputs!$B$13)</f>
        <v>1404000</v>
      </c>
      <c r="E5" s="16">
        <f>Inputs!$B$56*Inputs!$B$11*Inputs!$B$9*12*(1+Inputs!$B$13)</f>
        <v>1560000</v>
      </c>
      <c r="F5" s="16">
        <f>Inputs!$B$57*Inputs!$B$11*Inputs!$B$9*12*(1+Inputs!$B$13)</f>
        <v>1638000</v>
      </c>
    </row>
    <row r="6" spans="1:16" x14ac:dyDescent="0.3">
      <c r="A6" s="9" t="s">
        <v>358</v>
      </c>
      <c r="B6" s="26">
        <f>'Phase 2 Revenue'!N2</f>
        <v>420000</v>
      </c>
      <c r="C6" s="16">
        <f>'Phase 2 Revenue'!M2*12*(1+Inputs!$B$50)</f>
        <v>1296000</v>
      </c>
      <c r="D6" s="16">
        <f>C6*(1+Inputs!$B$51)</f>
        <v>1490400</v>
      </c>
      <c r="E6" s="16">
        <f>D6*(1+Inputs!$B$52)</f>
        <v>1609632</v>
      </c>
      <c r="F6" s="16">
        <f>E6*(1+Inputs!$B$53)</f>
        <v>1690113.6</v>
      </c>
    </row>
    <row r="7" spans="1:16" x14ac:dyDescent="0.3">
      <c r="A7" s="22" t="s">
        <v>359</v>
      </c>
      <c r="B7" s="18">
        <f>B5+B6</f>
        <v>1010850</v>
      </c>
      <c r="C7" s="18">
        <f>C5+C6</f>
        <v>2388000</v>
      </c>
      <c r="D7" s="18">
        <f>D5+D6</f>
        <v>2894400</v>
      </c>
      <c r="E7" s="18">
        <f>E5+E6</f>
        <v>3169632</v>
      </c>
      <c r="F7" s="18">
        <f>F5+F6</f>
        <v>3328113.6</v>
      </c>
      <c r="G7" s="18">
        <f>B7*0.85</f>
        <v>859222.5</v>
      </c>
      <c r="H7" s="18">
        <f>C7*0.85</f>
        <v>2029800</v>
      </c>
      <c r="I7" s="18">
        <f>D7*0.85</f>
        <v>2460240</v>
      </c>
      <c r="J7" s="18">
        <f>E7*0.85</f>
        <v>2694187.1999999997</v>
      </c>
      <c r="K7" s="18">
        <f>F7*0.85</f>
        <v>2828896.56</v>
      </c>
      <c r="L7" s="18">
        <f>B7*0.7</f>
        <v>707595</v>
      </c>
      <c r="M7" s="18">
        <f>C7*0.7</f>
        <v>1671600</v>
      </c>
      <c r="N7" s="18">
        <f>D7*0.7</f>
        <v>2026079.9999999998</v>
      </c>
      <c r="O7" s="18">
        <f>E7*0.7</f>
        <v>2218742.4</v>
      </c>
      <c r="P7" s="18">
        <f>F7*0.7</f>
        <v>2329679.52</v>
      </c>
    </row>
    <row r="9" spans="1:16" ht="22.05" customHeight="1" x14ac:dyDescent="0.3">
      <c r="A9" s="7" t="s">
        <v>360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9" t="s">
        <v>361</v>
      </c>
      <c r="B10" s="30">
        <f>'P&amp;L Monthly Y1'!N12</f>
        <v>0.29616115150615818</v>
      </c>
      <c r="C10" s="14">
        <v>0.33</v>
      </c>
      <c r="D10" s="14">
        <v>0.35</v>
      </c>
      <c r="E10" s="14">
        <v>0.36</v>
      </c>
      <c r="F10" s="14">
        <v>0.37</v>
      </c>
      <c r="G10" s="25">
        <f>B10-0.03</f>
        <v>0.26616115150615816</v>
      </c>
      <c r="H10" s="25">
        <f>C10-0.03</f>
        <v>0.30000000000000004</v>
      </c>
      <c r="I10" s="25">
        <f>D10-0.03</f>
        <v>0.31999999999999995</v>
      </c>
      <c r="J10" s="25">
        <f>E10-0.03</f>
        <v>0.32999999999999996</v>
      </c>
      <c r="K10" s="25">
        <f>F10-0.03</f>
        <v>0.33999999999999997</v>
      </c>
      <c r="L10" s="25">
        <f>B10-0.05</f>
        <v>0.24616115150615819</v>
      </c>
      <c r="M10" s="25">
        <f>C10-0.05</f>
        <v>0.28000000000000003</v>
      </c>
      <c r="N10" s="25">
        <f>D10-0.05</f>
        <v>0.3</v>
      </c>
      <c r="O10" s="25">
        <f>E10-0.05</f>
        <v>0.31</v>
      </c>
      <c r="P10" s="25">
        <f>F10-0.05</f>
        <v>0.32</v>
      </c>
    </row>
    <row r="11" spans="1:16" x14ac:dyDescent="0.3">
      <c r="A11" s="9" t="s">
        <v>362</v>
      </c>
      <c r="B11" s="16">
        <f t="shared" ref="B11:P11" si="0">B7*(1-B10)</f>
        <v>711475.5</v>
      </c>
      <c r="C11" s="16">
        <f t="shared" si="0"/>
        <v>1599959.9999999998</v>
      </c>
      <c r="D11" s="16">
        <f t="shared" si="0"/>
        <v>1881360</v>
      </c>
      <c r="E11" s="16">
        <f t="shared" si="0"/>
        <v>2028564.48</v>
      </c>
      <c r="F11" s="16">
        <f t="shared" si="0"/>
        <v>2096711.568</v>
      </c>
      <c r="G11" s="16">
        <f t="shared" si="0"/>
        <v>630530.85</v>
      </c>
      <c r="H11" s="16">
        <f t="shared" si="0"/>
        <v>1420860</v>
      </c>
      <c r="I11" s="16">
        <f t="shared" si="0"/>
        <v>1672963.2000000002</v>
      </c>
      <c r="J11" s="16">
        <f t="shared" si="0"/>
        <v>1805105.4239999999</v>
      </c>
      <c r="K11" s="16">
        <f t="shared" si="0"/>
        <v>1867071.7296000002</v>
      </c>
      <c r="L11" s="16">
        <f t="shared" si="0"/>
        <v>533412.6</v>
      </c>
      <c r="M11" s="16">
        <f t="shared" si="0"/>
        <v>1203552</v>
      </c>
      <c r="N11" s="16">
        <f t="shared" si="0"/>
        <v>1418255.9999999998</v>
      </c>
      <c r="O11" s="16">
        <f t="shared" si="0"/>
        <v>1530932.2559999998</v>
      </c>
      <c r="P11" s="16">
        <f t="shared" si="0"/>
        <v>1584182.0735999998</v>
      </c>
    </row>
    <row r="12" spans="1:16" x14ac:dyDescent="0.3">
      <c r="A12" s="22" t="s">
        <v>286</v>
      </c>
      <c r="B12" s="18">
        <f t="shared" ref="B12:P12" si="1">B7-B11</f>
        <v>299374.5</v>
      </c>
      <c r="C12" s="18">
        <f t="shared" si="1"/>
        <v>788040.00000000023</v>
      </c>
      <c r="D12" s="18">
        <f t="shared" si="1"/>
        <v>1013040</v>
      </c>
      <c r="E12" s="18">
        <f t="shared" si="1"/>
        <v>1141067.52</v>
      </c>
      <c r="F12" s="18">
        <f t="shared" si="1"/>
        <v>1231402.0320000001</v>
      </c>
      <c r="G12" s="18">
        <f t="shared" si="1"/>
        <v>228691.65000000002</v>
      </c>
      <c r="H12" s="18">
        <f t="shared" si="1"/>
        <v>608940</v>
      </c>
      <c r="I12" s="18">
        <f t="shared" si="1"/>
        <v>787276.79999999981</v>
      </c>
      <c r="J12" s="18">
        <f t="shared" si="1"/>
        <v>889081.77599999984</v>
      </c>
      <c r="K12" s="18">
        <f t="shared" si="1"/>
        <v>961824.83039999986</v>
      </c>
      <c r="L12" s="18">
        <f t="shared" si="1"/>
        <v>174182.40000000002</v>
      </c>
      <c r="M12" s="18">
        <f t="shared" si="1"/>
        <v>468048</v>
      </c>
      <c r="N12" s="18">
        <f t="shared" si="1"/>
        <v>607824</v>
      </c>
      <c r="O12" s="18">
        <f t="shared" si="1"/>
        <v>687810.14400000009</v>
      </c>
      <c r="P12" s="18">
        <f t="shared" si="1"/>
        <v>745497.44640000025</v>
      </c>
    </row>
    <row r="13" spans="1:16" x14ac:dyDescent="0.3">
      <c r="F13" s="16"/>
    </row>
    <row r="14" spans="1:16" ht="22.05" customHeight="1" x14ac:dyDescent="0.3">
      <c r="A14" s="7" t="s">
        <v>326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3">
      <c r="A15" s="9" t="s">
        <v>363</v>
      </c>
      <c r="B15" s="26">
        <f>'P&amp;L Monthly Y1'!N17</f>
        <v>117388.79999999999</v>
      </c>
      <c r="C15" s="16">
        <f>Inputs!$B$65*Inputs!$B$59*Inputs!$B$60*12</f>
        <v>420182.39999999997</v>
      </c>
      <c r="D15" s="16">
        <f>Inputs!$B$66*Inputs!$B$59*Inputs!$B$60*12</f>
        <v>458380.79999999993</v>
      </c>
      <c r="E15" s="16">
        <f>Inputs!$B$67*Inputs!$B$59*Inputs!$B$60*12</f>
        <v>496579.19999999995</v>
      </c>
      <c r="F15" s="16">
        <f>Inputs!$B$68*Inputs!$B$59*Inputs!$B$60*12</f>
        <v>534777.59999999998</v>
      </c>
      <c r="G15" s="16">
        <f t="shared" ref="G15:K17" si="2">B15</f>
        <v>117388.79999999999</v>
      </c>
      <c r="H15" s="16">
        <f t="shared" si="2"/>
        <v>420182.39999999997</v>
      </c>
      <c r="I15" s="16">
        <f t="shared" si="2"/>
        <v>458380.79999999993</v>
      </c>
      <c r="J15" s="16">
        <f t="shared" si="2"/>
        <v>496579.19999999995</v>
      </c>
      <c r="K15" s="16">
        <f t="shared" si="2"/>
        <v>534777.59999999998</v>
      </c>
      <c r="L15" s="16">
        <f>B15+L7*0.02</f>
        <v>131540.69999999998</v>
      </c>
      <c r="M15" s="16">
        <f>C15+M7*0.02</f>
        <v>453614.39999999997</v>
      </c>
      <c r="N15" s="16">
        <f>D15+N7*0.02</f>
        <v>498902.39999999991</v>
      </c>
      <c r="O15" s="16">
        <f>E15+O7*0.02</f>
        <v>540954.04799999995</v>
      </c>
      <c r="P15" s="16">
        <f>F15+P7*0.02</f>
        <v>581371.19039999996</v>
      </c>
    </row>
    <row r="16" spans="1:16" x14ac:dyDescent="0.3">
      <c r="A16" s="9" t="s">
        <v>364</v>
      </c>
      <c r="B16" s="26">
        <f>'P&amp;L Monthly Y1'!N18</f>
        <v>1500</v>
      </c>
      <c r="C16" s="16">
        <f>Inputs!$B$6*Inputs!$B$3</f>
        <v>54000</v>
      </c>
      <c r="E16" s="16">
        <f>C16*1.03^(1)</f>
        <v>55620</v>
      </c>
      <c r="F16" s="16">
        <f>C16*1.03^(2)</f>
        <v>57288.6</v>
      </c>
      <c r="G16" s="16">
        <f t="shared" si="2"/>
        <v>1500</v>
      </c>
      <c r="H16" s="16">
        <f t="shared" si="2"/>
        <v>54000</v>
      </c>
      <c r="I16" s="16">
        <f t="shared" si="2"/>
        <v>0</v>
      </c>
      <c r="J16" s="16">
        <f t="shared" si="2"/>
        <v>55620</v>
      </c>
      <c r="K16" s="16">
        <f t="shared" si="2"/>
        <v>57288.6</v>
      </c>
      <c r="L16" s="16">
        <f t="shared" ref="L16:P17" si="3">B16</f>
        <v>1500</v>
      </c>
      <c r="M16" s="16">
        <f t="shared" si="3"/>
        <v>54000</v>
      </c>
      <c r="N16" s="16">
        <f t="shared" si="3"/>
        <v>0</v>
      </c>
      <c r="O16" s="16">
        <f t="shared" si="3"/>
        <v>55620</v>
      </c>
      <c r="P16" s="16">
        <f t="shared" si="3"/>
        <v>57288.6</v>
      </c>
    </row>
    <row r="17" spans="1:16" ht="28.8" x14ac:dyDescent="0.3">
      <c r="A17" s="9" t="s">
        <v>365</v>
      </c>
      <c r="B17" s="26">
        <f>'P&amp;L Monthly Y1'!N19+'P&amp;L Monthly Y1'!N20+'P&amp;L Monthly Y1'!N21+'P&amp;L Monthly Y1'!N22+'P&amp;L Monthly Y1'!N23+'P&amp;L Monthly Y1'!N24+'P&amp;L Monthly Y1'!N25+'P&amp;L Monthly Y1'!N26</f>
        <v>147372</v>
      </c>
      <c r="C17" s="16">
        <f>B17*1.04</f>
        <v>153266.88</v>
      </c>
      <c r="D17" s="16">
        <f>C17*1.04</f>
        <v>159397.5552</v>
      </c>
      <c r="E17" s="16">
        <f>D17*1.04</f>
        <v>165773.45740800002</v>
      </c>
      <c r="F17" s="16">
        <f>E17*1.04</f>
        <v>172404.39570432002</v>
      </c>
      <c r="G17" s="16">
        <f t="shared" si="2"/>
        <v>147372</v>
      </c>
      <c r="H17" s="16">
        <f t="shared" si="2"/>
        <v>153266.88</v>
      </c>
      <c r="I17" s="16">
        <f t="shared" si="2"/>
        <v>159397.5552</v>
      </c>
      <c r="J17" s="16">
        <f t="shared" si="2"/>
        <v>165773.45740800002</v>
      </c>
      <c r="K17" s="16">
        <f t="shared" si="2"/>
        <v>172404.39570432002</v>
      </c>
      <c r="L17" s="16">
        <f t="shared" si="3"/>
        <v>147372</v>
      </c>
      <c r="M17" s="16">
        <f t="shared" si="3"/>
        <v>153266.88</v>
      </c>
      <c r="N17" s="16">
        <f t="shared" si="3"/>
        <v>159397.5552</v>
      </c>
      <c r="O17" s="16">
        <f t="shared" si="3"/>
        <v>165773.45740800002</v>
      </c>
      <c r="P17" s="16">
        <f t="shared" si="3"/>
        <v>172404.39570432002</v>
      </c>
    </row>
    <row r="18" spans="1:16" x14ac:dyDescent="0.3">
      <c r="A18" s="9" t="s">
        <v>366</v>
      </c>
      <c r="B18" s="16">
        <f>B6*Inputs!$B$77</f>
        <v>12600</v>
      </c>
      <c r="C18" s="16">
        <f>C6*Inputs!$B$77</f>
        <v>38880</v>
      </c>
      <c r="D18" s="16">
        <f>D6*Inputs!$B$77</f>
        <v>44712</v>
      </c>
      <c r="E18" s="16">
        <f>E6*Inputs!$B$77</f>
        <v>48288.959999999999</v>
      </c>
      <c r="F18" s="16">
        <f>F6*Inputs!$B$77</f>
        <v>50703.408000000003</v>
      </c>
      <c r="G18" s="16">
        <f>G7*Inputs!$B$77*0.6</f>
        <v>15466.004999999999</v>
      </c>
      <c r="H18" s="16">
        <f>H7*Inputs!$B$77*0.6</f>
        <v>36536.400000000001</v>
      </c>
      <c r="I18" s="16">
        <f>I7*Inputs!$B$77*0.6</f>
        <v>44284.32</v>
      </c>
      <c r="J18" s="16">
        <f>J7*Inputs!$B$77*0.6</f>
        <v>48495.369599999998</v>
      </c>
      <c r="K18" s="16">
        <f>K7*Inputs!$B$77*0.6</f>
        <v>50920.138079999997</v>
      </c>
      <c r="L18" s="16">
        <f>L7*(Inputs!$B$77+0.01)</f>
        <v>28303.8</v>
      </c>
      <c r="M18" s="16">
        <f>M7*(Inputs!$B$77+0.01)</f>
        <v>66864</v>
      </c>
      <c r="N18" s="16">
        <f>N7*(Inputs!$B$77+0.01)</f>
        <v>81043.199999999997</v>
      </c>
      <c r="O18" s="16">
        <f>O7*(Inputs!$B$77+0.01)</f>
        <v>88749.695999999996</v>
      </c>
      <c r="P18" s="16">
        <f>P7*(Inputs!$B$77+0.01)</f>
        <v>93187.180800000002</v>
      </c>
    </row>
    <row r="19" spans="1:16" x14ac:dyDescent="0.3">
      <c r="A19" s="22" t="s">
        <v>367</v>
      </c>
      <c r="B19" s="18">
        <f t="shared" ref="B19:P19" si="4">B15+B16+B17+B18</f>
        <v>278860.79999999999</v>
      </c>
      <c r="C19" s="18">
        <f t="shared" si="4"/>
        <v>666329.28</v>
      </c>
      <c r="D19" s="18">
        <f t="shared" si="4"/>
        <v>662490.35519999987</v>
      </c>
      <c r="E19" s="18">
        <f t="shared" si="4"/>
        <v>766261.61740799993</v>
      </c>
      <c r="F19" s="18">
        <f t="shared" si="4"/>
        <v>815174.00370432006</v>
      </c>
      <c r="G19" s="18">
        <f t="shared" si="4"/>
        <v>281726.80499999999</v>
      </c>
      <c r="H19" s="18">
        <f t="shared" si="4"/>
        <v>663985.68000000005</v>
      </c>
      <c r="I19" s="18">
        <f t="shared" si="4"/>
        <v>662062.67519999982</v>
      </c>
      <c r="J19" s="18">
        <f t="shared" si="4"/>
        <v>766468.02700799995</v>
      </c>
      <c r="K19" s="18">
        <f t="shared" si="4"/>
        <v>815390.73378431995</v>
      </c>
      <c r="L19" s="18">
        <f t="shared" si="4"/>
        <v>308716.49999999994</v>
      </c>
      <c r="M19" s="18">
        <f t="shared" si="4"/>
        <v>727745.28</v>
      </c>
      <c r="N19" s="18">
        <f t="shared" si="4"/>
        <v>739343.15519999992</v>
      </c>
      <c r="O19" s="18">
        <f t="shared" si="4"/>
        <v>851097.20140799996</v>
      </c>
      <c r="P19" s="18">
        <f t="shared" si="4"/>
        <v>904251.36690431996</v>
      </c>
    </row>
    <row r="21" spans="1:16" x14ac:dyDescent="0.3">
      <c r="A21" s="22" t="s">
        <v>341</v>
      </c>
      <c r="B21" s="18">
        <f t="shared" ref="B21:P21" si="5">B12-B19</f>
        <v>20513.700000000012</v>
      </c>
      <c r="C21" s="18">
        <f t="shared" si="5"/>
        <v>121710.7200000002</v>
      </c>
      <c r="D21" s="18">
        <f t="shared" si="5"/>
        <v>350549.64480000013</v>
      </c>
      <c r="E21" s="18">
        <f t="shared" si="5"/>
        <v>374805.90259200009</v>
      </c>
      <c r="F21" s="18">
        <f t="shared" si="5"/>
        <v>416228.02829568007</v>
      </c>
      <c r="G21" s="18">
        <f t="shared" si="5"/>
        <v>-53035.15499999997</v>
      </c>
      <c r="H21" s="18">
        <f t="shared" si="5"/>
        <v>-55045.680000000051</v>
      </c>
      <c r="I21" s="18">
        <f t="shared" si="5"/>
        <v>125214.12479999999</v>
      </c>
      <c r="J21" s="18">
        <f t="shared" si="5"/>
        <v>122613.74899199989</v>
      </c>
      <c r="K21" s="18">
        <f t="shared" si="5"/>
        <v>146434.09661567991</v>
      </c>
      <c r="L21" s="18">
        <f t="shared" si="5"/>
        <v>-134534.09999999992</v>
      </c>
      <c r="M21" s="18">
        <f t="shared" si="5"/>
        <v>-259697.28000000003</v>
      </c>
      <c r="N21" s="18">
        <f t="shared" si="5"/>
        <v>-131519.15519999992</v>
      </c>
      <c r="O21" s="18">
        <f t="shared" si="5"/>
        <v>-163287.05740799988</v>
      </c>
      <c r="P21" s="18">
        <f t="shared" si="5"/>
        <v>-158753.92050431971</v>
      </c>
    </row>
    <row r="22" spans="1:16" x14ac:dyDescent="0.3">
      <c r="A22" s="9" t="s">
        <v>342</v>
      </c>
      <c r="B22" s="25">
        <f t="shared" ref="B22:P22" si="6">IFERROR(B21/B7,0)</f>
        <v>2.0293515358361786E-2</v>
      </c>
      <c r="C22" s="25">
        <f t="shared" si="6"/>
        <v>5.0967638190954859E-2</v>
      </c>
      <c r="D22" s="25">
        <f t="shared" si="6"/>
        <v>0.12111306135986738</v>
      </c>
      <c r="E22" s="25">
        <f t="shared" si="6"/>
        <v>0.11824902783414608</v>
      </c>
      <c r="F22" s="25">
        <f t="shared" si="6"/>
        <v>0.12506424909765101</v>
      </c>
      <c r="G22" s="25">
        <f t="shared" si="6"/>
        <v>-6.172458821783644E-2</v>
      </c>
      <c r="H22" s="25">
        <f t="shared" si="6"/>
        <v>-2.7118770322199257E-2</v>
      </c>
      <c r="I22" s="25">
        <f t="shared" si="6"/>
        <v>5.0895085357526092E-2</v>
      </c>
      <c r="J22" s="25">
        <f t="shared" si="6"/>
        <v>4.5510478630438118E-2</v>
      </c>
      <c r="K22" s="25">
        <f t="shared" si="6"/>
        <v>5.1763680116914526E-2</v>
      </c>
      <c r="L22" s="25">
        <f t="shared" si="6"/>
        <v>-0.1901286753015495</v>
      </c>
      <c r="M22" s="25">
        <f t="shared" si="6"/>
        <v>-0.15535850681981336</v>
      </c>
      <c r="N22" s="25">
        <f t="shared" si="6"/>
        <v>-6.4913110637289717E-2</v>
      </c>
      <c r="O22" s="25">
        <f t="shared" si="6"/>
        <v>-7.3594418805896483E-2</v>
      </c>
      <c r="P22" s="25">
        <f t="shared" si="6"/>
        <v>-6.8144102715175056E-2</v>
      </c>
    </row>
    <row r="24" spans="1:16" ht="22.05" customHeight="1" x14ac:dyDescent="0.3">
      <c r="A24" s="7" t="s">
        <v>368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3">
      <c r="A25" s="9" t="s">
        <v>369</v>
      </c>
      <c r="B25" s="16">
        <f>PMT(Inputs!$B$89,Inputs!$B$90,-(Inputs!$B$83+Inputs!$B$84))</f>
        <v>80610.758126554894</v>
      </c>
      <c r="C25" s="16">
        <f>PMT(Inputs!$B$89,Inputs!$B$90,-(Inputs!$B$83+Inputs!$B$84))</f>
        <v>80610.758126554894</v>
      </c>
      <c r="D25" s="16">
        <f>PMT(Inputs!$B$89,Inputs!$B$90,-(Inputs!$B$83+Inputs!$B$84))</f>
        <v>80610.758126554894</v>
      </c>
      <c r="E25" s="16">
        <f>PMT(Inputs!$B$89,Inputs!$B$90,-(Inputs!$B$83+Inputs!$B$84))</f>
        <v>80610.758126554894</v>
      </c>
      <c r="F25" s="16">
        <f>PMT(Inputs!$B$89,Inputs!$B$90,-(Inputs!$B$83+Inputs!$B$84))</f>
        <v>80610.758126554894</v>
      </c>
      <c r="G25" s="16">
        <f t="shared" ref="G25:K26" si="7">B25</f>
        <v>80610.758126554894</v>
      </c>
      <c r="H25" s="16">
        <f t="shared" si="7"/>
        <v>80610.758126554894</v>
      </c>
      <c r="I25" s="16">
        <f t="shared" si="7"/>
        <v>80610.758126554894</v>
      </c>
      <c r="J25" s="16">
        <f t="shared" si="7"/>
        <v>80610.758126554894</v>
      </c>
      <c r="K25" s="16">
        <f t="shared" si="7"/>
        <v>80610.758126554894</v>
      </c>
      <c r="L25" s="16">
        <f t="shared" ref="L25:P26" si="8">B25</f>
        <v>80610.758126554894</v>
      </c>
      <c r="M25" s="16">
        <f t="shared" si="8"/>
        <v>80610.758126554894</v>
      </c>
      <c r="N25" s="16">
        <f t="shared" si="8"/>
        <v>80610.758126554894</v>
      </c>
      <c r="O25" s="16">
        <f t="shared" si="8"/>
        <v>80610.758126554894</v>
      </c>
      <c r="P25" s="16">
        <f t="shared" si="8"/>
        <v>80610.758126554894</v>
      </c>
    </row>
    <row r="26" spans="1:16" x14ac:dyDescent="0.3">
      <c r="A26" s="9" t="s">
        <v>370</v>
      </c>
      <c r="B26" s="16">
        <f>Inputs!$B$91*Inputs!$B$88</f>
        <v>5100</v>
      </c>
      <c r="C26" s="16">
        <f>Inputs!$B$92*Inputs!$B$88</f>
        <v>2550</v>
      </c>
      <c r="D26" s="16">
        <f>Inputs!$B$92*Inputs!$B$88</f>
        <v>2550</v>
      </c>
      <c r="E26" s="16">
        <f>Inputs!$B$92*Inputs!$B$88</f>
        <v>2550</v>
      </c>
      <c r="F26" s="16">
        <f>Inputs!$B$92*Inputs!$B$88</f>
        <v>2550</v>
      </c>
      <c r="G26" s="16">
        <f t="shared" si="7"/>
        <v>5100</v>
      </c>
      <c r="H26" s="16">
        <f t="shared" si="7"/>
        <v>2550</v>
      </c>
      <c r="I26" s="16">
        <f t="shared" si="7"/>
        <v>2550</v>
      </c>
      <c r="J26" s="16">
        <f t="shared" si="7"/>
        <v>2550</v>
      </c>
      <c r="K26" s="16">
        <f t="shared" si="7"/>
        <v>2550</v>
      </c>
      <c r="L26" s="16">
        <f t="shared" si="8"/>
        <v>5100</v>
      </c>
      <c r="M26" s="16">
        <f t="shared" si="8"/>
        <v>2550</v>
      </c>
      <c r="N26" s="16">
        <f t="shared" si="8"/>
        <v>2550</v>
      </c>
      <c r="O26" s="16">
        <f t="shared" si="8"/>
        <v>2550</v>
      </c>
      <c r="P26" s="16">
        <f t="shared" si="8"/>
        <v>2550</v>
      </c>
    </row>
    <row r="27" spans="1:16" x14ac:dyDescent="0.3">
      <c r="A27" s="22" t="s">
        <v>371</v>
      </c>
      <c r="B27" s="18">
        <f t="shared" ref="B27:P27" si="9">B25+B26</f>
        <v>85710.758126554894</v>
      </c>
      <c r="C27" s="18">
        <f t="shared" si="9"/>
        <v>83160.758126554894</v>
      </c>
      <c r="D27" s="18">
        <f t="shared" si="9"/>
        <v>83160.758126554894</v>
      </c>
      <c r="E27" s="18">
        <f t="shared" si="9"/>
        <v>83160.758126554894</v>
      </c>
      <c r="F27" s="18">
        <f t="shared" si="9"/>
        <v>83160.758126554894</v>
      </c>
      <c r="G27" s="18">
        <f t="shared" si="9"/>
        <v>85710.758126554894</v>
      </c>
      <c r="H27" s="18">
        <f t="shared" si="9"/>
        <v>83160.758126554894</v>
      </c>
      <c r="I27" s="18">
        <f t="shared" si="9"/>
        <v>83160.758126554894</v>
      </c>
      <c r="J27" s="18">
        <f t="shared" si="9"/>
        <v>83160.758126554894</v>
      </c>
      <c r="K27" s="18">
        <f t="shared" si="9"/>
        <v>83160.758126554894</v>
      </c>
      <c r="L27" s="18">
        <f t="shared" si="9"/>
        <v>85710.758126554894</v>
      </c>
      <c r="M27" s="18">
        <f t="shared" si="9"/>
        <v>83160.758126554894</v>
      </c>
      <c r="N27" s="18">
        <f t="shared" si="9"/>
        <v>83160.758126554894</v>
      </c>
      <c r="O27" s="18">
        <f t="shared" si="9"/>
        <v>83160.758126554894</v>
      </c>
      <c r="P27" s="18">
        <f t="shared" si="9"/>
        <v>83160.758126554894</v>
      </c>
    </row>
    <row r="28" spans="1:16" x14ac:dyDescent="0.3">
      <c r="A28" s="22" t="s">
        <v>372</v>
      </c>
      <c r="B28" s="31">
        <f t="shared" ref="B28:P28" si="10">IFERROR(B21/B27,0)</f>
        <v>0.23933634993300171</v>
      </c>
      <c r="C28" s="31">
        <f t="shared" si="10"/>
        <v>1.463559529060324</v>
      </c>
      <c r="D28" s="31">
        <f t="shared" si="10"/>
        <v>4.2153252651512636</v>
      </c>
      <c r="E28" s="31">
        <f t="shared" si="10"/>
        <v>4.5070043976946028</v>
      </c>
      <c r="F28" s="31">
        <f t="shared" si="10"/>
        <v>5.0051014164909366</v>
      </c>
      <c r="G28" s="31">
        <f t="shared" si="10"/>
        <v>-0.61876894055343357</v>
      </c>
      <c r="H28" s="31">
        <f t="shared" si="10"/>
        <v>-0.66191892955366005</v>
      </c>
      <c r="I28" s="31">
        <f t="shared" si="10"/>
        <v>1.5056876298487787</v>
      </c>
      <c r="J28" s="31">
        <f t="shared" si="10"/>
        <v>1.4744183645536881</v>
      </c>
      <c r="K28" s="31">
        <f t="shared" si="10"/>
        <v>1.7608557198677171</v>
      </c>
      <c r="L28" s="31">
        <f t="shared" si="10"/>
        <v>-1.5696290983840753</v>
      </c>
      <c r="M28" s="31">
        <f t="shared" si="10"/>
        <v>-3.1228344456022161</v>
      </c>
      <c r="N28" s="31">
        <f t="shared" si="10"/>
        <v>-1.5815050050391883</v>
      </c>
      <c r="O28" s="31">
        <f t="shared" si="10"/>
        <v>-1.9635109285500736</v>
      </c>
      <c r="P28" s="31">
        <f t="shared" si="10"/>
        <v>-1.9090003997164908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55555"/>
  </sheetPr>
  <dimension ref="A1:F19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defaultRowHeight="14.4" x14ac:dyDescent="0.3"/>
  <cols>
    <col min="1" max="1" width="38" customWidth="1"/>
    <col min="2" max="6" width="14" customWidth="1"/>
  </cols>
  <sheetData>
    <row r="1" spans="1:6" ht="30" customHeight="1" x14ac:dyDescent="0.3">
      <c r="A1" s="6" t="s">
        <v>373</v>
      </c>
      <c r="B1" s="6" t="s">
        <v>352</v>
      </c>
      <c r="C1" s="6" t="s">
        <v>353</v>
      </c>
      <c r="D1" s="6" t="s">
        <v>354</v>
      </c>
      <c r="E1" s="6" t="s">
        <v>355</v>
      </c>
      <c r="F1" s="6" t="s">
        <v>356</v>
      </c>
    </row>
    <row r="3" spans="1:6" x14ac:dyDescent="0.3">
      <c r="A3" s="32" t="s">
        <v>320</v>
      </c>
      <c r="B3" s="26">
        <f>'P&amp;L Annual'!B7</f>
        <v>1010850</v>
      </c>
      <c r="C3" s="26">
        <f>'P&amp;L Annual'!C7</f>
        <v>2388000</v>
      </c>
      <c r="D3" s="26">
        <f>'P&amp;L Annual'!D7</f>
        <v>2894400</v>
      </c>
      <c r="E3" s="26">
        <f>'P&amp;L Annual'!E7</f>
        <v>3169632</v>
      </c>
      <c r="F3" s="26">
        <f>'P&amp;L Annual'!F7</f>
        <v>3328113.6</v>
      </c>
    </row>
    <row r="4" spans="1:6" x14ac:dyDescent="0.3">
      <c r="A4" s="9" t="s">
        <v>324</v>
      </c>
      <c r="B4" s="26">
        <f>'P&amp;L Annual'!B11</f>
        <v>711475.5</v>
      </c>
      <c r="C4" s="26">
        <f>'P&amp;L Annual'!C11</f>
        <v>1599959.9999999998</v>
      </c>
      <c r="D4" s="26">
        <f>'P&amp;L Annual'!D11</f>
        <v>1881360</v>
      </c>
      <c r="E4" s="26">
        <f>'P&amp;L Annual'!E11</f>
        <v>2028564.48</v>
      </c>
      <c r="F4" s="26">
        <f>'P&amp;L Annual'!F11</f>
        <v>2096711.568</v>
      </c>
    </row>
    <row r="6" spans="1:6" ht="22.05" customHeight="1" x14ac:dyDescent="0.3">
      <c r="A6" s="7" t="s">
        <v>374</v>
      </c>
      <c r="B6" s="8"/>
      <c r="C6" s="8"/>
      <c r="D6" s="8"/>
      <c r="E6" s="8"/>
      <c r="F6" s="8"/>
    </row>
    <row r="7" spans="1:6" x14ac:dyDescent="0.3">
      <c r="A7" s="9" t="s">
        <v>375</v>
      </c>
      <c r="B7" s="16">
        <f>B4*Inputs!$B$94/365</f>
        <v>48731.198630136983</v>
      </c>
      <c r="C7" s="16">
        <f>C4*Inputs!$B$95/365</f>
        <v>96435.945205479438</v>
      </c>
      <c r="D7" s="16">
        <f>D4*Inputs!$B$95/365</f>
        <v>113397.04109589041</v>
      </c>
      <c r="E7" s="16">
        <f>E4*Inputs!$B$95/365</f>
        <v>122269.63989041097</v>
      </c>
      <c r="F7" s="16">
        <f>F4*Inputs!$B$95/365</f>
        <v>126377.13560547945</v>
      </c>
    </row>
    <row r="8" spans="1:6" x14ac:dyDescent="0.3">
      <c r="A8" s="9" t="s">
        <v>376</v>
      </c>
      <c r="B8" s="16">
        <f>B4*Inputs!$B$96/365</f>
        <v>23390.975342465754</v>
      </c>
      <c r="C8" s="16">
        <f>C4*Inputs!$B$97/365</f>
        <v>109586.30136986299</v>
      </c>
      <c r="D8" s="16">
        <f>D4*Inputs!$B$97/365</f>
        <v>128860.27397260274</v>
      </c>
      <c r="E8" s="16">
        <f>E4*Inputs!$B$97/365</f>
        <v>138942.77260273971</v>
      </c>
      <c r="F8" s="16">
        <f>F4*Inputs!$B$97/365</f>
        <v>143610.38136986303</v>
      </c>
    </row>
    <row r="9" spans="1:6" x14ac:dyDescent="0.3">
      <c r="A9" s="9" t="s">
        <v>377</v>
      </c>
      <c r="B9" s="16">
        <f>B3*Inputs!$B$98/365</f>
        <v>2769.4520547945203</v>
      </c>
      <c r="C9" s="16">
        <f>C3*Inputs!$B$98/365</f>
        <v>6542.4657534246571</v>
      </c>
      <c r="D9" s="16">
        <f>D3*Inputs!$B$98/365</f>
        <v>7929.8630136986303</v>
      </c>
      <c r="E9" s="16">
        <f>E3*Inputs!$B$98/365</f>
        <v>8683.9232876712322</v>
      </c>
      <c r="F9" s="16">
        <f>F3*Inputs!$B$98/365</f>
        <v>9118.1194520547942</v>
      </c>
    </row>
    <row r="10" spans="1:6" x14ac:dyDescent="0.3">
      <c r="A10" s="22" t="s">
        <v>378</v>
      </c>
      <c r="B10" s="18">
        <f>B7-B8+B9</f>
        <v>28109.675342465751</v>
      </c>
      <c r="C10" s="18">
        <f>C7-C8+C9</f>
        <v>-6607.8904109588993</v>
      </c>
      <c r="D10" s="18">
        <f>D7-D8+D9</f>
        <v>-7533.3698630136951</v>
      </c>
      <c r="E10" s="18">
        <f>E7-E8+E9</f>
        <v>-7989.2094246575161</v>
      </c>
      <c r="F10" s="18">
        <f>F7-F8+F9</f>
        <v>-8115.1263123287863</v>
      </c>
    </row>
    <row r="12" spans="1:6" ht="28.8" x14ac:dyDescent="0.3">
      <c r="A12" s="22" t="s">
        <v>379</v>
      </c>
      <c r="B12" s="33">
        <f>Inputs!$B$94+Inputs!$B$98-Inputs!$B$96</f>
        <v>14</v>
      </c>
      <c r="C12" s="33">
        <f>Inputs!$B$95+Inputs!$B$98-Inputs!$B$97</f>
        <v>-2</v>
      </c>
      <c r="D12" s="33">
        <f>Inputs!$B$95+Inputs!$B$98-Inputs!$B$97</f>
        <v>-2</v>
      </c>
      <c r="E12" s="33">
        <f>Inputs!$B$95+Inputs!$B$98-Inputs!$B$97</f>
        <v>-2</v>
      </c>
      <c r="F12" s="33">
        <f>Inputs!$B$95+Inputs!$B$98-Inputs!$B$97</f>
        <v>-2</v>
      </c>
    </row>
    <row r="13" spans="1:6" x14ac:dyDescent="0.3">
      <c r="A13" s="9" t="s">
        <v>380</v>
      </c>
      <c r="B13" s="26">
        <f>B10-Inputs!$B$99</f>
        <v>-71890.324657534249</v>
      </c>
      <c r="C13" s="16">
        <f>C10-B10</f>
        <v>-34717.565753424649</v>
      </c>
      <c r="D13" s="16">
        <f>D10-C10</f>
        <v>-925.47945205479573</v>
      </c>
      <c r="E13" s="16">
        <f>E10-D10</f>
        <v>-455.83956164382107</v>
      </c>
      <c r="F13" s="16">
        <f>F10-E10</f>
        <v>-125.91688767127016</v>
      </c>
    </row>
    <row r="15" spans="1:6" ht="22.05" customHeight="1" x14ac:dyDescent="0.3">
      <c r="A15" s="7" t="s">
        <v>381</v>
      </c>
      <c r="B15" s="8"/>
      <c r="C15" s="8"/>
      <c r="D15" s="8"/>
      <c r="E15" s="8"/>
      <c r="F15" s="8"/>
    </row>
    <row r="16" spans="1:6" x14ac:dyDescent="0.3">
      <c r="A16" s="32" t="s">
        <v>382</v>
      </c>
      <c r="B16" s="20">
        <f>Inputs!$B$86</f>
        <v>100000</v>
      </c>
    </row>
    <row r="17" spans="1:2" x14ac:dyDescent="0.3">
      <c r="A17" s="9" t="s">
        <v>383</v>
      </c>
      <c r="B17" s="34">
        <f>B16/('P&amp;L Annual'!C19/12)</f>
        <v>1.8009114052439659</v>
      </c>
    </row>
    <row r="18" spans="1:2" x14ac:dyDescent="0.3">
      <c r="A18" s="9" t="s">
        <v>384</v>
      </c>
      <c r="B18" s="16">
        <f>Inputs!$B$87</f>
        <v>100000</v>
      </c>
    </row>
    <row r="19" spans="1:2" x14ac:dyDescent="0.3">
      <c r="A19" s="9" t="s">
        <v>385</v>
      </c>
      <c r="B19" s="35">
        <f>B18/(C4/365)</f>
        <v>22.813070326758169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55555"/>
  </sheetPr>
  <dimension ref="A1:F1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8" customWidth="1"/>
    <col min="2" max="6" width="13" customWidth="1"/>
  </cols>
  <sheetData>
    <row r="1" spans="1:6" ht="30" customHeight="1" x14ac:dyDescent="0.3">
      <c r="A1" s="6" t="s">
        <v>386</v>
      </c>
      <c r="B1" s="6" t="s">
        <v>352</v>
      </c>
      <c r="C1" s="6" t="s">
        <v>353</v>
      </c>
      <c r="D1" s="6" t="s">
        <v>354</v>
      </c>
      <c r="E1" s="6" t="s">
        <v>355</v>
      </c>
      <c r="F1" s="6" t="s">
        <v>356</v>
      </c>
    </row>
    <row r="3" spans="1:6" x14ac:dyDescent="0.3">
      <c r="A3" s="32" t="s">
        <v>387</v>
      </c>
      <c r="B3" s="20">
        <f>Inputs!$B$83+Inputs!$B$84</f>
        <v>450000</v>
      </c>
      <c r="C3" s="20">
        <f>B6</f>
        <v>396389.24187344511</v>
      </c>
      <c r="D3" s="20">
        <f>C6</f>
        <v>339561.8382592969</v>
      </c>
      <c r="E3" s="20">
        <f>D6</f>
        <v>279324.79042829981</v>
      </c>
      <c r="F3" s="20">
        <f>E6</f>
        <v>215473.51972744291</v>
      </c>
    </row>
    <row r="4" spans="1:6" x14ac:dyDescent="0.3">
      <c r="A4" s="9" t="s">
        <v>388</v>
      </c>
      <c r="B4" s="16">
        <f>PMT(Inputs!$B$89,Inputs!$B$90,-(Inputs!$B$83+Inputs!$B$84))</f>
        <v>80610.758126554894</v>
      </c>
      <c r="C4" s="16">
        <f>PMT(Inputs!$B$89,Inputs!$B$90,-(Inputs!$B$83+Inputs!$B$84))</f>
        <v>80610.758126554894</v>
      </c>
      <c r="D4" s="16">
        <f>PMT(Inputs!$B$89,Inputs!$B$90,-(Inputs!$B$83+Inputs!$B$84))</f>
        <v>80610.758126554894</v>
      </c>
      <c r="E4" s="16">
        <f>PMT(Inputs!$B$89,Inputs!$B$90,-(Inputs!$B$83+Inputs!$B$84))</f>
        <v>80610.758126554894</v>
      </c>
      <c r="F4" s="16">
        <f>PMT(Inputs!$B$89,Inputs!$B$90,-(Inputs!$B$83+Inputs!$B$84))</f>
        <v>80610.758126554894</v>
      </c>
    </row>
    <row r="5" spans="1:6" x14ac:dyDescent="0.3">
      <c r="A5" s="9" t="s">
        <v>389</v>
      </c>
      <c r="B5" s="16">
        <f>B3*Inputs!$B$89</f>
        <v>27000</v>
      </c>
      <c r="C5" s="16">
        <f>C3*Inputs!$B$89</f>
        <v>23783.354512406706</v>
      </c>
      <c r="D5" s="16">
        <f>D3*Inputs!$B$89</f>
        <v>20373.710295557812</v>
      </c>
      <c r="E5" s="16">
        <f>E3*Inputs!$B$89</f>
        <v>16759.487425697989</v>
      </c>
      <c r="F5" s="16">
        <f>F3*Inputs!$B$89</f>
        <v>12928.411183646575</v>
      </c>
    </row>
    <row r="6" spans="1:6" x14ac:dyDescent="0.3">
      <c r="A6" s="22" t="s">
        <v>390</v>
      </c>
      <c r="B6" s="18">
        <f>MAX(0,B3-(B4-B5))</f>
        <v>396389.24187344511</v>
      </c>
      <c r="C6" s="18">
        <f>MAX(0,C3-(C4-C5))</f>
        <v>339561.8382592969</v>
      </c>
      <c r="D6" s="18">
        <f>MAX(0,D3-(D4-D5))</f>
        <v>279324.79042829981</v>
      </c>
      <c r="E6" s="18">
        <f>MAX(0,E3-(E4-E5))</f>
        <v>215473.51972744291</v>
      </c>
      <c r="F6" s="18">
        <f>MAX(0,F3-(F4-F5))</f>
        <v>147791.17278453457</v>
      </c>
    </row>
    <row r="8" spans="1:6" ht="22.05" customHeight="1" x14ac:dyDescent="0.3">
      <c r="A8" s="7" t="s">
        <v>391</v>
      </c>
      <c r="B8" s="8"/>
      <c r="C8" s="8"/>
      <c r="D8" s="8"/>
      <c r="E8" s="8"/>
      <c r="F8" s="8"/>
    </row>
    <row r="9" spans="1:6" x14ac:dyDescent="0.3">
      <c r="A9" s="9" t="s">
        <v>392</v>
      </c>
      <c r="B9" s="26">
        <f>'P&amp;L Annual'!B21</f>
        <v>20513.700000000012</v>
      </c>
      <c r="C9" s="26">
        <f>'P&amp;L Annual'!C21</f>
        <v>121710.7200000002</v>
      </c>
      <c r="D9" s="26">
        <f>'P&amp;L Annual'!D21</f>
        <v>350549.64480000013</v>
      </c>
      <c r="E9" s="26">
        <f>'P&amp;L Annual'!E21</f>
        <v>374805.90259200009</v>
      </c>
      <c r="F9" s="26">
        <f>'P&amp;L Annual'!F21</f>
        <v>416228.02829568007</v>
      </c>
    </row>
    <row r="10" spans="1:6" x14ac:dyDescent="0.3">
      <c r="A10" s="9" t="s">
        <v>371</v>
      </c>
      <c r="B10" s="16">
        <f>B4+Inputs!$B$91*Inputs!$B$88</f>
        <v>85710.758126554894</v>
      </c>
      <c r="C10" s="16">
        <f>C4+Inputs!$B$91*Inputs!$B$88</f>
        <v>85710.758126554894</v>
      </c>
      <c r="D10" s="16">
        <f>D4+Inputs!$B$91*Inputs!$B$88</f>
        <v>85710.758126554894</v>
      </c>
      <c r="E10" s="16">
        <f>E4+Inputs!$B$91*Inputs!$B$88</f>
        <v>85710.758126554894</v>
      </c>
      <c r="F10" s="16">
        <f>F4+Inputs!$B$91*Inputs!$B$88</f>
        <v>85710.758126554894</v>
      </c>
    </row>
    <row r="11" spans="1:6" x14ac:dyDescent="0.3">
      <c r="A11" s="22" t="s">
        <v>393</v>
      </c>
      <c r="B11" s="31">
        <f>IFERROR(B9/B10,0)</f>
        <v>0.23933634993300171</v>
      </c>
      <c r="C11" s="31">
        <f>IFERROR(C9/C10,0)</f>
        <v>1.4200168410631735</v>
      </c>
      <c r="D11" s="31">
        <f>IFERROR(D9/D10,0)</f>
        <v>4.0899141771958369</v>
      </c>
      <c r="E11" s="31">
        <f>IFERROR(E9/E10,0)</f>
        <v>4.3729154984090357</v>
      </c>
      <c r="F11" s="31">
        <f>IFERROR(F9/F10,0)</f>
        <v>4.8561935210175715</v>
      </c>
    </row>
    <row r="12" spans="1:6" x14ac:dyDescent="0.3">
      <c r="A12" s="9" t="s">
        <v>394</v>
      </c>
      <c r="B12" s="36">
        <f>IFERROR('P&amp;L Annual'!G21/B10,0)</f>
        <v>-0.61876894055343357</v>
      </c>
      <c r="C12" s="36">
        <f>IFERROR('P&amp;L Annual'!H21/C10,0)</f>
        <v>-0.64222603093445052</v>
      </c>
      <c r="D12" s="36">
        <f>IFERROR('P&amp;L Annual'!I21/D10,0)</f>
        <v>1.4608915792707959</v>
      </c>
      <c r="E12" s="36">
        <f>IFERROR('P&amp;L Annual'!J21/E10,0)</f>
        <v>1.4305526129048638</v>
      </c>
      <c r="F12" s="36">
        <f>IFERROR('P&amp;L Annual'!K21/F10,0)</f>
        <v>1.7084681061794473</v>
      </c>
    </row>
    <row r="13" spans="1:6" x14ac:dyDescent="0.3">
      <c r="A13" s="9" t="s">
        <v>395</v>
      </c>
      <c r="B13" s="36">
        <f>IFERROR('P&amp;L Annual'!L21/B10,0)</f>
        <v>-1.5696290983840753</v>
      </c>
      <c r="C13" s="36">
        <f>IFERROR('P&amp;L Annual'!M21/C10,0)</f>
        <v>-3.0299262971930316</v>
      </c>
      <c r="D13" s="36">
        <f>IFERROR('P&amp;L Annual'!N21/D10,0)</f>
        <v>-1.5344532947171854</v>
      </c>
      <c r="E13" s="36">
        <f>IFERROR('P&amp;L Annual'!O21/E10,0)</f>
        <v>-1.9050940742689604</v>
      </c>
      <c r="F13" s="36">
        <f>IFERROR('P&amp;L Annual'!P21/F10,0)</f>
        <v>-1.8522053004118113</v>
      </c>
    </row>
    <row r="15" spans="1:6" x14ac:dyDescent="0.3">
      <c r="A15" s="9" t="s">
        <v>396</v>
      </c>
      <c r="B15" s="46" t="s">
        <v>397</v>
      </c>
      <c r="C15" s="43"/>
      <c r="D15" s="43"/>
      <c r="E15" s="43"/>
      <c r="F15" s="43"/>
    </row>
  </sheetData>
  <mergeCells count="1">
    <mergeCell ref="B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88888"/>
  </sheetPr>
  <dimension ref="A1:F13"/>
  <sheetViews>
    <sheetView workbookViewId="0"/>
  </sheetViews>
  <sheetFormatPr defaultRowHeight="14.4" x14ac:dyDescent="0.3"/>
  <cols>
    <col min="1" max="1" width="40" customWidth="1"/>
    <col min="2" max="6" width="16" customWidth="1"/>
  </cols>
  <sheetData>
    <row r="1" spans="1:6" ht="30" customHeight="1" x14ac:dyDescent="0.3">
      <c r="A1" s="6" t="s">
        <v>398</v>
      </c>
      <c r="B1" s="6" t="s">
        <v>399</v>
      </c>
      <c r="C1" s="6" t="s">
        <v>400</v>
      </c>
      <c r="D1" s="6" t="s">
        <v>401</v>
      </c>
      <c r="E1" s="6" t="s">
        <v>402</v>
      </c>
      <c r="F1" s="6" t="s">
        <v>403</v>
      </c>
    </row>
    <row r="3" spans="1:6" x14ac:dyDescent="0.3">
      <c r="A3" s="9" t="s">
        <v>404</v>
      </c>
      <c r="B3" s="16">
        <f>'P&amp;L Annual'!C7*0.8*'P&amp;L Annual'!C10-'P&amp;L Annual'!C19</f>
        <v>-35897.280000000028</v>
      </c>
      <c r="C3" s="16">
        <f>'P&amp;L Annual'!C7*0.9*'P&amp;L Annual'!C10-'P&amp;L Annual'!C19</f>
        <v>42906.719999999972</v>
      </c>
      <c r="D3" s="16">
        <f>'P&amp;L Annual'!C7*1*'P&amp;L Annual'!C10-'P&amp;L Annual'!C19</f>
        <v>121710.71999999997</v>
      </c>
      <c r="E3" s="16">
        <f>'P&amp;L Annual'!C7*1.1*'P&amp;L Annual'!C10-'P&amp;L Annual'!C19</f>
        <v>200514.71999999997</v>
      </c>
      <c r="F3" s="16">
        <f>'P&amp;L Annual'!C7*1.2*'P&amp;L Annual'!C10-'P&amp;L Annual'!C19</f>
        <v>279318.71999999997</v>
      </c>
    </row>
    <row r="4" spans="1:6" x14ac:dyDescent="0.3">
      <c r="A4" s="9" t="s">
        <v>405</v>
      </c>
      <c r="B4" s="16">
        <f>'P&amp;L Annual'!C7*('P&amp;L Annual'!C10+-0.03)-'P&amp;L Annual'!C19</f>
        <v>50070.720000000088</v>
      </c>
      <c r="C4" s="16">
        <f>'P&amp;L Annual'!C7*('P&amp;L Annual'!C10+-0.015)-'P&amp;L Annual'!C19</f>
        <v>85890.719999999972</v>
      </c>
      <c r="D4" s="16">
        <f>'P&amp;L Annual'!C7*('P&amp;L Annual'!C10+0)-'P&amp;L Annual'!C19</f>
        <v>121710.71999999997</v>
      </c>
      <c r="E4" s="16">
        <f>'P&amp;L Annual'!C7*('P&amp;L Annual'!C10+0.015)-'P&amp;L Annual'!C19</f>
        <v>157530.72000000009</v>
      </c>
      <c r="F4" s="16">
        <f>'P&amp;L Annual'!C7*('P&amp;L Annual'!C10+0.03)-'P&amp;L Annual'!C19</f>
        <v>193350.71999999997</v>
      </c>
    </row>
    <row r="5" spans="1:6" x14ac:dyDescent="0.3">
      <c r="A5" s="9" t="s">
        <v>406</v>
      </c>
      <c r="B5" s="16">
        <f>'P&amp;L Annual'!C7*'P&amp;L Annual'!C10-'P&amp;L Annual'!C19-'P&amp;L Annual'!C7*0.02</f>
        <v>73950.719999999972</v>
      </c>
      <c r="C5" s="16">
        <f>'P&amp;L Annual'!C7*'P&amp;L Annual'!C10-'P&amp;L Annual'!C19-'P&amp;L Annual'!C7*0.01</f>
        <v>97830.719999999972</v>
      </c>
      <c r="D5" s="16">
        <f>'P&amp;L Annual'!C7*'P&amp;L Annual'!C10-'P&amp;L Annual'!C19-'P&amp;L Annual'!C7*0</f>
        <v>121710.71999999997</v>
      </c>
      <c r="E5" s="16">
        <f>'P&amp;L Annual'!C7*'P&amp;L Annual'!C10-'P&amp;L Annual'!C19-'P&amp;L Annual'!C7*-0.01</f>
        <v>145590.71999999997</v>
      </c>
      <c r="F5" s="16">
        <f>'P&amp;L Annual'!C7*'P&amp;L Annual'!C10-'P&amp;L Annual'!C19-'P&amp;L Annual'!C7*-0.02</f>
        <v>169470.71999999997</v>
      </c>
    </row>
    <row r="7" spans="1:6" ht="22.05" customHeight="1" x14ac:dyDescent="0.3">
      <c r="A7" s="7" t="s">
        <v>407</v>
      </c>
      <c r="B7" s="8"/>
      <c r="C7" s="8"/>
      <c r="D7" s="8"/>
      <c r="E7" s="8"/>
      <c r="F7" s="8"/>
    </row>
    <row r="8" spans="1:6" ht="30" customHeight="1" x14ac:dyDescent="0.3">
      <c r="A8" s="6" t="s">
        <v>408</v>
      </c>
      <c r="B8" s="6" t="s">
        <v>409</v>
      </c>
      <c r="C8" s="6" t="s">
        <v>410</v>
      </c>
      <c r="D8" s="6" t="s">
        <v>411</v>
      </c>
      <c r="E8" s="6" t="s">
        <v>412</v>
      </c>
      <c r="F8" s="6" t="s">
        <v>413</v>
      </c>
    </row>
    <row r="9" spans="1:6" x14ac:dyDescent="0.3">
      <c r="A9" s="9" t="s">
        <v>414</v>
      </c>
      <c r="B9" s="16">
        <f>'P&amp;L Annual'!C7*0.8*0.26-'P&amp;L Annual'!C19</f>
        <v>-169625.28000000003</v>
      </c>
      <c r="C9" s="16">
        <f>'P&amp;L Annual'!C7*0.8*0.3-'P&amp;L Annual'!C19</f>
        <v>-93209.280000000028</v>
      </c>
      <c r="D9" s="16">
        <f>'P&amp;L Annual'!C7*0.8*0.34-'P&amp;L Annual'!C19</f>
        <v>-16793.280000000028</v>
      </c>
      <c r="E9" s="16">
        <f>'P&amp;L Annual'!C7*0.8*0.38-'P&amp;L Annual'!C19</f>
        <v>59622.719999999972</v>
      </c>
      <c r="F9" s="16">
        <f>'P&amp;L Annual'!C7*0.8*0.42-'P&amp;L Annual'!C19</f>
        <v>136038.71999999997</v>
      </c>
    </row>
    <row r="10" spans="1:6" x14ac:dyDescent="0.3">
      <c r="A10" s="9" t="s">
        <v>415</v>
      </c>
      <c r="B10" s="16">
        <f>'P&amp;L Annual'!C7*0.9*0.26-'P&amp;L Annual'!C19</f>
        <v>-107537.28000000003</v>
      </c>
      <c r="C10" s="16">
        <f>'P&amp;L Annual'!C7*0.9*0.3-'P&amp;L Annual'!C19</f>
        <v>-21569.280000000028</v>
      </c>
      <c r="D10" s="16">
        <f>'P&amp;L Annual'!C7*0.9*0.34-'P&amp;L Annual'!C19</f>
        <v>64398.719999999972</v>
      </c>
      <c r="E10" s="16">
        <f>'P&amp;L Annual'!C7*0.9*0.38-'P&amp;L Annual'!C19</f>
        <v>150366.71999999997</v>
      </c>
      <c r="F10" s="16">
        <f>'P&amp;L Annual'!C7*0.9*0.42-'P&amp;L Annual'!C19</f>
        <v>236334.71999999997</v>
      </c>
    </row>
    <row r="11" spans="1:6" x14ac:dyDescent="0.3">
      <c r="A11" s="9" t="s">
        <v>416</v>
      </c>
      <c r="B11" s="16">
        <f>'P&amp;L Annual'!C7*1*0.26-'P&amp;L Annual'!C19</f>
        <v>-45449.280000000028</v>
      </c>
      <c r="C11" s="16">
        <f>'P&amp;L Annual'!C7*1*0.3-'P&amp;L Annual'!C19</f>
        <v>50070.719999999972</v>
      </c>
      <c r="D11" s="16">
        <f>'P&amp;L Annual'!C7*1*0.34-'P&amp;L Annual'!C19</f>
        <v>145590.72000000009</v>
      </c>
      <c r="E11" s="16">
        <f>'P&amp;L Annual'!C7*1*0.38-'P&amp;L Annual'!C19</f>
        <v>241110.71999999997</v>
      </c>
      <c r="F11" s="16">
        <f>'P&amp;L Annual'!C7*1*0.42-'P&amp;L Annual'!C19</f>
        <v>336630.72</v>
      </c>
    </row>
    <row r="12" spans="1:6" x14ac:dyDescent="0.3">
      <c r="A12" s="9" t="s">
        <v>417</v>
      </c>
      <c r="B12" s="16">
        <f>'P&amp;L Annual'!C7*1.1*0.26-'P&amp;L Annual'!C19</f>
        <v>16638.719999999972</v>
      </c>
      <c r="C12" s="16">
        <f>'P&amp;L Annual'!C7*1.1*0.3-'P&amp;L Annual'!C19</f>
        <v>121710.71999999997</v>
      </c>
      <c r="D12" s="16">
        <f>'P&amp;L Annual'!C7*1.1*0.34-'P&amp;L Annual'!C19</f>
        <v>226782.72000000009</v>
      </c>
      <c r="E12" s="16">
        <f>'P&amp;L Annual'!C7*1.1*0.38-'P&amp;L Annual'!C19</f>
        <v>331854.71999999997</v>
      </c>
      <c r="F12" s="16">
        <f>'P&amp;L Annual'!C7*1.1*0.42-'P&amp;L Annual'!C19</f>
        <v>436926.71999999997</v>
      </c>
    </row>
    <row r="13" spans="1:6" x14ac:dyDescent="0.3">
      <c r="A13" s="9" t="s">
        <v>418</v>
      </c>
      <c r="B13" s="16">
        <f>'P&amp;L Annual'!C7*1.2*0.26-'P&amp;L Annual'!C19</f>
        <v>78726.719999999972</v>
      </c>
      <c r="C13" s="16">
        <f>'P&amp;L Annual'!C7*1.2*0.3-'P&amp;L Annual'!C19</f>
        <v>193350.71999999997</v>
      </c>
      <c r="D13" s="16">
        <f>'P&amp;L Annual'!C7*1.2*0.34-'P&amp;L Annual'!C19</f>
        <v>307974.72000000009</v>
      </c>
      <c r="E13" s="16">
        <f>'P&amp;L Annual'!C7*1.2*0.38-'P&amp;L Annual'!C19</f>
        <v>422598.72</v>
      </c>
      <c r="F13" s="16">
        <f>'P&amp;L Annual'!C7*1.2*0.42-'P&amp;L Annual'!C19</f>
        <v>537222.72</v>
      </c>
    </row>
  </sheetData>
  <conditionalFormatting sqref="B9:F1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88888"/>
  </sheetPr>
  <dimension ref="A1:D15"/>
  <sheetViews>
    <sheetView workbookViewId="0"/>
  </sheetViews>
  <sheetFormatPr defaultRowHeight="14.4" x14ac:dyDescent="0.3"/>
  <cols>
    <col min="1" max="1" width="38" customWidth="1"/>
    <col min="2" max="2" width="18" customWidth="1"/>
    <col min="3" max="3" width="22" customWidth="1"/>
    <col min="4" max="4" width="60" customWidth="1"/>
  </cols>
  <sheetData>
    <row r="1" spans="1:4" ht="30" customHeight="1" x14ac:dyDescent="0.3">
      <c r="A1" s="6" t="s">
        <v>419</v>
      </c>
      <c r="B1" s="6" t="s">
        <v>420</v>
      </c>
      <c r="C1" s="6" t="s">
        <v>421</v>
      </c>
      <c r="D1" s="6" t="s">
        <v>422</v>
      </c>
    </row>
    <row r="2" spans="1:4" ht="34.950000000000003" customHeight="1" x14ac:dyDescent="0.3">
      <c r="A2" s="9" t="s">
        <v>423</v>
      </c>
      <c r="B2" s="37" t="s">
        <v>424</v>
      </c>
      <c r="C2" s="37" t="s">
        <v>425</v>
      </c>
      <c r="D2" s="37" t="s">
        <v>426</v>
      </c>
    </row>
    <row r="3" spans="1:4" ht="34.950000000000003" customHeight="1" x14ac:dyDescent="0.3">
      <c r="A3" s="9" t="s">
        <v>427</v>
      </c>
      <c r="B3" s="37" t="s">
        <v>428</v>
      </c>
      <c r="C3" s="37" t="s">
        <v>429</v>
      </c>
      <c r="D3" s="37" t="s">
        <v>430</v>
      </c>
    </row>
    <row r="4" spans="1:4" ht="34.950000000000003" customHeight="1" x14ac:dyDescent="0.3">
      <c r="A4" s="9" t="s">
        <v>431</v>
      </c>
      <c r="B4" s="37" t="s">
        <v>432</v>
      </c>
      <c r="C4" s="37" t="s">
        <v>433</v>
      </c>
      <c r="D4" s="37" t="s">
        <v>434</v>
      </c>
    </row>
    <row r="5" spans="1:4" ht="34.950000000000003" customHeight="1" x14ac:dyDescent="0.3">
      <c r="A5" s="9" t="s">
        <v>435</v>
      </c>
      <c r="B5" s="37" t="s">
        <v>436</v>
      </c>
      <c r="C5" s="37" t="s">
        <v>437</v>
      </c>
      <c r="D5" s="37" t="s">
        <v>438</v>
      </c>
    </row>
    <row r="6" spans="1:4" ht="34.950000000000003" customHeight="1" x14ac:dyDescent="0.3">
      <c r="A6" s="9" t="s">
        <v>439</v>
      </c>
      <c r="B6" s="37" t="s">
        <v>440</v>
      </c>
      <c r="C6" s="37" t="s">
        <v>441</v>
      </c>
      <c r="D6" s="37" t="s">
        <v>442</v>
      </c>
    </row>
    <row r="7" spans="1:4" ht="34.950000000000003" customHeight="1" x14ac:dyDescent="0.3">
      <c r="A7" s="9" t="s">
        <v>443</v>
      </c>
      <c r="B7" s="37" t="s">
        <v>444</v>
      </c>
      <c r="C7" s="37" t="s">
        <v>445</v>
      </c>
      <c r="D7" s="37" t="s">
        <v>446</v>
      </c>
    </row>
    <row r="8" spans="1:4" ht="34.950000000000003" customHeight="1" x14ac:dyDescent="0.3">
      <c r="A8" s="9" t="s">
        <v>447</v>
      </c>
      <c r="B8" s="37" t="s">
        <v>448</v>
      </c>
      <c r="C8" s="37" t="s">
        <v>449</v>
      </c>
      <c r="D8" s="37" t="s">
        <v>450</v>
      </c>
    </row>
    <row r="12" spans="1:4" ht="22.05" customHeight="1" x14ac:dyDescent="0.3">
      <c r="A12" s="7" t="s">
        <v>451</v>
      </c>
      <c r="B12" s="8"/>
      <c r="C12" s="8"/>
      <c r="D12" s="8"/>
    </row>
    <row r="13" spans="1:4" ht="28.8" x14ac:dyDescent="0.3">
      <c r="A13" s="19" t="s">
        <v>452</v>
      </c>
      <c r="B13" s="37" t="s">
        <v>453</v>
      </c>
    </row>
    <row r="14" spans="1:4" ht="57.6" x14ac:dyDescent="0.3">
      <c r="A14" s="19" t="s">
        <v>454</v>
      </c>
      <c r="B14" s="37" t="s">
        <v>455</v>
      </c>
    </row>
    <row r="15" spans="1:4" ht="43.2" x14ac:dyDescent="0.3">
      <c r="A15" s="19" t="s">
        <v>456</v>
      </c>
      <c r="B15" s="37" t="s">
        <v>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88888"/>
  </sheetPr>
  <dimension ref="A1:F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  <col min="2" max="6" width="14" customWidth="1"/>
  </cols>
  <sheetData>
    <row r="1" spans="1:6" ht="30" customHeight="1" x14ac:dyDescent="0.3">
      <c r="A1" s="6" t="s">
        <v>458</v>
      </c>
      <c r="B1" s="6" t="s">
        <v>352</v>
      </c>
      <c r="C1" s="6" t="s">
        <v>353</v>
      </c>
      <c r="D1" s="6" t="s">
        <v>354</v>
      </c>
      <c r="E1" s="6" t="s">
        <v>355</v>
      </c>
      <c r="F1" s="6" t="s">
        <v>356</v>
      </c>
    </row>
    <row r="2" spans="1:6" ht="22.05" customHeight="1" x14ac:dyDescent="0.3">
      <c r="A2" s="38" t="s">
        <v>459</v>
      </c>
      <c r="B2" s="8"/>
      <c r="C2" s="8"/>
      <c r="D2" s="8"/>
      <c r="E2" s="8"/>
      <c r="F2" s="8"/>
    </row>
    <row r="3" spans="1:6" x14ac:dyDescent="0.3">
      <c r="A3" s="9" t="s">
        <v>460</v>
      </c>
      <c r="B3" s="39">
        <f>(Inputs!$B$61*3+Inputs!$B$62*3+Inputs!$B$63*3+Inputs!$B$64*3)/12</f>
        <v>7</v>
      </c>
      <c r="C3" s="39">
        <f>Inputs!$B$65</f>
        <v>11</v>
      </c>
      <c r="D3" s="39">
        <f>Inputs!$B$66</f>
        <v>12</v>
      </c>
      <c r="E3" s="39">
        <f>Inputs!$B$67</f>
        <v>13</v>
      </c>
      <c r="F3" s="39">
        <f>Inputs!$B$68</f>
        <v>14</v>
      </c>
    </row>
    <row r="4" spans="1:6" x14ac:dyDescent="0.3">
      <c r="A4" s="9" t="s">
        <v>461</v>
      </c>
      <c r="B4" s="40">
        <f>0.7</f>
        <v>0.7</v>
      </c>
      <c r="C4" s="40">
        <f>0.7</f>
        <v>0.7</v>
      </c>
      <c r="D4" s="40">
        <f>0.7</f>
        <v>0.7</v>
      </c>
      <c r="E4" s="40">
        <f>0.7</f>
        <v>0.7</v>
      </c>
      <c r="F4" s="40">
        <f>0.7</f>
        <v>0.7</v>
      </c>
    </row>
    <row r="5" spans="1:6" x14ac:dyDescent="0.3">
      <c r="A5" s="9" t="s">
        <v>462</v>
      </c>
      <c r="B5" s="41">
        <f>16</f>
        <v>16</v>
      </c>
      <c r="C5" s="41">
        <f>16</f>
        <v>16</v>
      </c>
      <c r="D5" s="41">
        <f>16</f>
        <v>16</v>
      </c>
      <c r="E5" s="41">
        <f>16</f>
        <v>16</v>
      </c>
      <c r="F5" s="41">
        <f>16</f>
        <v>16</v>
      </c>
    </row>
    <row r="6" spans="1:6" x14ac:dyDescent="0.3">
      <c r="A6" s="9" t="s">
        <v>463</v>
      </c>
      <c r="B6" s="16">
        <f>B3*B4*16*173*12</f>
        <v>162758.39999999999</v>
      </c>
      <c r="C6" s="16">
        <f>C3*C4*16*173*12</f>
        <v>255763.19999999998</v>
      </c>
      <c r="D6" s="16">
        <f>D3*D4*16*173*12</f>
        <v>279014.39999999997</v>
      </c>
      <c r="E6" s="16">
        <f>E3*E4*16*173*12</f>
        <v>302265.59999999998</v>
      </c>
      <c r="F6" s="16">
        <f>F3*F4*16*173*12</f>
        <v>325516.79999999999</v>
      </c>
    </row>
    <row r="8" spans="1:6" ht="22.05" customHeight="1" x14ac:dyDescent="0.3">
      <c r="A8" s="7" t="s">
        <v>464</v>
      </c>
      <c r="B8" s="8"/>
      <c r="C8" s="8"/>
      <c r="D8" s="8"/>
      <c r="E8" s="8"/>
      <c r="F8" s="8"/>
    </row>
    <row r="9" spans="1:6" x14ac:dyDescent="0.3">
      <c r="A9" s="9" t="s">
        <v>465</v>
      </c>
      <c r="B9" s="21">
        <f>'Phase 1 Revenue'!M4+ROUND('P&amp;L Annual'!B6/12/45,0)/4</f>
        <v>509.5</v>
      </c>
      <c r="C9" s="21">
        <f>Inputs!$B$54+ROUND('P&amp;L Annual'!C6/12/45,0)/4</f>
        <v>950</v>
      </c>
      <c r="D9" s="21">
        <f>Inputs!$B$55+ROUND('P&amp;L Annual'!D6/12/45,0)/4</f>
        <v>1140</v>
      </c>
      <c r="E9" s="21">
        <f>Inputs!$B$56+ROUND('P&amp;L Annual'!E6/12/45,0)/4</f>
        <v>1245.25</v>
      </c>
      <c r="F9" s="21">
        <f>Inputs!$B$57+ROUND('P&amp;L Annual'!F6/12/45,0)/4</f>
        <v>1307.5</v>
      </c>
    </row>
    <row r="10" spans="1:6" x14ac:dyDescent="0.3">
      <c r="A10" s="9" t="s">
        <v>466</v>
      </c>
      <c r="C10" s="40">
        <f>0.2</f>
        <v>0.2</v>
      </c>
      <c r="D10" s="40">
        <f>0.2</f>
        <v>0.2</v>
      </c>
      <c r="E10" s="40">
        <f>0.2</f>
        <v>0.2</v>
      </c>
      <c r="F10" s="40">
        <f>0.2</f>
        <v>0.2</v>
      </c>
    </row>
    <row r="11" spans="1:6" x14ac:dyDescent="0.3">
      <c r="A11" s="9" t="s">
        <v>467</v>
      </c>
      <c r="B11" s="47" t="s">
        <v>468</v>
      </c>
      <c r="C11" s="43"/>
      <c r="D11" s="43"/>
      <c r="E11" s="43"/>
      <c r="F11" s="43"/>
    </row>
    <row r="13" spans="1:6" ht="22.05" customHeight="1" x14ac:dyDescent="0.3">
      <c r="A13" s="7" t="s">
        <v>469</v>
      </c>
      <c r="B13" s="8"/>
      <c r="C13" s="8"/>
      <c r="D13" s="8"/>
      <c r="E13" s="8"/>
      <c r="F13" s="8"/>
    </row>
    <row r="14" spans="1:6" x14ac:dyDescent="0.3">
      <c r="A14" s="9" t="s">
        <v>470</v>
      </c>
      <c r="B14" s="16">
        <f>'P&amp;L Annual'!B11*0.18*0.3</f>
        <v>38419.676999999996</v>
      </c>
      <c r="C14" s="16">
        <f>'P&amp;L Annual'!C11*0.18*0.3</f>
        <v>86397.839999999982</v>
      </c>
      <c r="D14" s="16">
        <f>'P&amp;L Annual'!D11*0.18*0.3</f>
        <v>101593.43999999999</v>
      </c>
      <c r="E14" s="16">
        <f>'P&amp;L Annual'!E11*0.18*0.3</f>
        <v>109542.48191999999</v>
      </c>
      <c r="F14" s="16">
        <f>'P&amp;L Annual'!F11*0.18*0.3</f>
        <v>113222.42467199998</v>
      </c>
    </row>
    <row r="15" spans="1:6" x14ac:dyDescent="0.3">
      <c r="A15" s="9" t="s">
        <v>471</v>
      </c>
      <c r="B15" s="16">
        <f>'P&amp;L Annual'!B11*0.25</f>
        <v>177868.875</v>
      </c>
      <c r="C15" s="16">
        <f>'P&amp;L Annual'!C11*0.25</f>
        <v>399989.99999999994</v>
      </c>
      <c r="D15" s="16">
        <f>'P&amp;L Annual'!D11*0.25</f>
        <v>470340</v>
      </c>
      <c r="E15" s="16">
        <f>'P&amp;L Annual'!E11*0.25</f>
        <v>507141.12</v>
      </c>
      <c r="F15" s="16">
        <f>'P&amp;L Annual'!F11*0.25</f>
        <v>524177.89199999999</v>
      </c>
    </row>
    <row r="17" spans="1:6" ht="22.05" customHeight="1" x14ac:dyDescent="0.3">
      <c r="A17" s="7" t="s">
        <v>472</v>
      </c>
      <c r="B17" s="8"/>
      <c r="C17" s="8"/>
      <c r="D17" s="8"/>
      <c r="E17" s="8"/>
      <c r="F17" s="8"/>
    </row>
    <row r="18" spans="1:6" x14ac:dyDescent="0.3">
      <c r="A18" s="9" t="s">
        <v>473</v>
      </c>
      <c r="B18" s="16">
        <f>Inputs!$B$79</f>
        <v>250000</v>
      </c>
      <c r="C18" s="16">
        <f>Inputs!$B$79+Inputs!$B$80</f>
        <v>750000</v>
      </c>
      <c r="D18" s="16">
        <f>Inputs!$B$79+Inputs!$B$80</f>
        <v>750000</v>
      </c>
      <c r="E18" s="16">
        <f>Inputs!$B$79+Inputs!$B$80</f>
        <v>750000</v>
      </c>
      <c r="F18" s="16">
        <f>Inputs!$B$79+Inputs!$B$80</f>
        <v>750000</v>
      </c>
    </row>
    <row r="19" spans="1:6" x14ac:dyDescent="0.3">
      <c r="A19" s="9" t="s">
        <v>474</v>
      </c>
      <c r="B19" s="16">
        <f>Inputs!$B$79+Inputs!$B$91</f>
        <v>310000</v>
      </c>
      <c r="C19" s="16">
        <f>Inputs!$B$79+Inputs!$B$80+Inputs!$B$92</f>
        <v>780000</v>
      </c>
      <c r="D19" s="16">
        <f>Inputs!$B$79+Inputs!$B$80+Inputs!$B$92</f>
        <v>780000</v>
      </c>
      <c r="E19" s="16">
        <f>Inputs!$B$79+Inputs!$B$80+Inputs!$B$92</f>
        <v>780000</v>
      </c>
      <c r="F19" s="16">
        <f>Inputs!$B$79+Inputs!$B$80+Inputs!$B$92</f>
        <v>780000</v>
      </c>
    </row>
    <row r="20" spans="1:6" x14ac:dyDescent="0.3">
      <c r="A20" s="9" t="s">
        <v>475</v>
      </c>
      <c r="B20" s="16">
        <f>'P&amp;L Annual'!B7</f>
        <v>1010850</v>
      </c>
      <c r="C20" s="16">
        <f>B20+'P&amp;L Annual'!C7</f>
        <v>3398850</v>
      </c>
      <c r="D20" s="16">
        <f>C20+'P&amp;L Annual'!D7</f>
        <v>6293250</v>
      </c>
      <c r="E20" s="16">
        <f>D20+'P&amp;L Annual'!E7</f>
        <v>9462882</v>
      </c>
      <c r="F20" s="16">
        <f>E20+'P&amp;L Annual'!F7</f>
        <v>12790995.6</v>
      </c>
    </row>
    <row r="21" spans="1:6" ht="28.8" x14ac:dyDescent="0.3">
      <c r="A21" s="22" t="s">
        <v>476</v>
      </c>
      <c r="B21" s="31">
        <f>B20/B18</f>
        <v>4.0434000000000001</v>
      </c>
      <c r="C21" s="31">
        <f>C20/C18</f>
        <v>4.5317999999999996</v>
      </c>
      <c r="D21" s="31">
        <f>D20/D18</f>
        <v>8.391</v>
      </c>
      <c r="E21" s="31">
        <f>E20/E18</f>
        <v>12.617176000000001</v>
      </c>
      <c r="F21" s="31">
        <f>F20/F18</f>
        <v>17.054660800000001</v>
      </c>
    </row>
  </sheetData>
  <mergeCells count="1"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Inputs</vt:lpstr>
      <vt:lpstr>Capital Stack</vt:lpstr>
      <vt:lpstr>Phase 1 Revenue</vt:lpstr>
      <vt:lpstr>Phase 2 Revenue</vt:lpstr>
      <vt:lpstr>P&amp;L Monthly Y1</vt:lpstr>
      <vt:lpstr>P&amp;L Annual</vt:lpstr>
      <vt:lpstr>Working Capital</vt:lpstr>
      <vt:lpstr>Debt &amp; DSCR</vt:lpstr>
      <vt:lpstr>Sensitivity</vt:lpstr>
      <vt:lpstr>Milestones</vt:lpstr>
      <vt:lpstr>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Ivy</cp:lastModifiedBy>
  <dcterms:created xsi:type="dcterms:W3CDTF">2026-05-04T22:20:45Z</dcterms:created>
  <dcterms:modified xsi:type="dcterms:W3CDTF">2026-05-06T16:37:40Z</dcterms:modified>
</cp:coreProperties>
</file>