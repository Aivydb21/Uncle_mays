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Capital Stack" sheetId="3" state="visible" r:id="rId3"/>
    <sheet xmlns:r="http://schemas.openxmlformats.org/officeDocument/2006/relationships" name="Phase 1 Revenue" sheetId="4" state="visible" r:id="rId4"/>
    <sheet xmlns:r="http://schemas.openxmlformats.org/officeDocument/2006/relationships" name="Phase 2 Revenue" sheetId="5" state="visible" r:id="rId5"/>
    <sheet xmlns:r="http://schemas.openxmlformats.org/officeDocument/2006/relationships" name="P&amp;L Monthly Y1" sheetId="6" state="visible" r:id="rId6"/>
    <sheet xmlns:r="http://schemas.openxmlformats.org/officeDocument/2006/relationships" name="P&amp;L Annual" sheetId="7" state="visible" r:id="rId7"/>
    <sheet xmlns:r="http://schemas.openxmlformats.org/officeDocument/2006/relationships" name="Working Capital" sheetId="8" state="visible" r:id="rId8"/>
    <sheet xmlns:r="http://schemas.openxmlformats.org/officeDocument/2006/relationships" name="Debt &amp; DSCR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ilestones" sheetId="11" state="visible" r:id="rId11"/>
    <sheet xmlns:r="http://schemas.openxmlformats.org/officeDocument/2006/relationships" name="Impact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;[Red](&quot;$&quot;#,##0)"/>
    <numFmt numFmtId="165" formatCode="&quot;$&quot;0.00"/>
    <numFmt numFmtId="166" formatCode="0.0%"/>
    <numFmt numFmtId="167" formatCode="0.00&quot;x&quot;"/>
    <numFmt numFmtId="168" formatCode="0&quot; days&quot;"/>
    <numFmt numFmtId="169" formatCode="0.0&quot; months&quot;"/>
    <numFmt numFmtId="170" formatCode="0.0&quot; FTE&quot;"/>
    <numFmt numFmtId="171" formatCode="&quot;$&quot;0.00&quot;/hr&quot;"/>
  </numFmts>
  <fonts count="14">
    <font>
      <name val="Calibri"/>
      <family val="2"/>
      <color theme="1"/>
      <sz val="11"/>
      <scheme val="minor"/>
    </font>
    <font>
      <b val="1"/>
      <color rgb="001F4E2C"/>
      <sz val="18"/>
    </font>
    <font>
      <b val="1"/>
      <color rgb="00555555"/>
      <sz val="13"/>
    </font>
    <font>
      <i val="1"/>
      <color rgb="00555555"/>
      <sz val="10"/>
    </font>
    <font>
      <name val="Calibri"/>
      <sz val="11"/>
    </font>
    <font>
      <b val="1"/>
      <color rgb="001F4E2C"/>
      <sz val="12"/>
    </font>
    <font>
      <name val="Calibri"/>
      <b val="1"/>
      <color rgb="00FFFFFF"/>
      <sz val="11"/>
    </font>
    <font>
      <name val="Calibri"/>
      <b val="1"/>
      <color rgb="00000000"/>
      <sz val="12"/>
    </font>
    <font>
      <name val="Calibri"/>
      <color rgb="00000000"/>
      <sz val="11"/>
    </font>
    <font>
      <name val="Calibri"/>
      <color rgb="000000CC"/>
      <sz val="11"/>
    </font>
    <font>
      <i val="1"/>
      <color rgb="00666666"/>
      <sz val="10"/>
    </font>
    <font>
      <name val="Calibri"/>
      <b val="1"/>
      <color rgb="00000000"/>
      <sz val="11"/>
    </font>
    <font>
      <name val="Calibri"/>
      <color rgb="00006600"/>
      <sz val="11"/>
    </font>
    <font>
      <i val="1"/>
      <color rgb="00666666"/>
    </font>
  </fonts>
  <fills count="7">
    <fill>
      <patternFill/>
    </fill>
    <fill>
      <patternFill patternType="gray125"/>
    </fill>
    <fill>
      <patternFill patternType="solid">
        <fgColor rgb="00D5E3DC"/>
      </patternFill>
    </fill>
    <fill>
      <patternFill patternType="solid">
        <fgColor rgb="001F4E2C"/>
      </patternFill>
    </fill>
    <fill>
      <patternFill patternType="solid">
        <fgColor rgb="00E8E5C8"/>
      </patternFill>
    </fill>
    <fill>
      <patternFill patternType="solid">
        <fgColor rgb="00A04040"/>
      </patternFill>
    </fill>
    <fill>
      <patternFill patternType="solid">
        <fgColor rgb="006B202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0" fillId="2" borderId="0" pivotButton="0" quotePrefix="0" xfId="0"/>
    <xf numFmtId="0" fontId="8" fillId="0" borderId="0" applyAlignment="1" pivotButton="0" quotePrefix="0" xfId="0">
      <alignment horizontal="left" vertical="center" wrapText="1"/>
    </xf>
    <xf numFmtId="3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 vertical="center" wrapText="1"/>
    </xf>
    <xf numFmtId="164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right" vertical="center"/>
    </xf>
    <xf numFmtId="164" fontId="8" fillId="0" borderId="0" applyAlignment="1" pivotButton="0" quotePrefix="0" xfId="0">
      <alignment horizontal="right" vertical="center"/>
    </xf>
    <xf numFmtId="0" fontId="11" fillId="4" borderId="1" pivotButton="0" quotePrefix="0" xfId="0"/>
    <xf numFmtId="164" fontId="11" fillId="4" borderId="1" applyAlignment="1" pivotButton="0" quotePrefix="0" xfId="0">
      <alignment horizontal="right" vertical="center"/>
    </xf>
    <xf numFmtId="0" fontId="11" fillId="0" borderId="0" pivotButton="0" quotePrefix="0" xfId="0"/>
    <xf numFmtId="164" fontId="11" fillId="0" borderId="0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 vertical="center"/>
    </xf>
    <xf numFmtId="0" fontId="11" fillId="4" borderId="1" applyAlignment="1" pivotButton="0" quotePrefix="0" xfId="0">
      <alignment horizontal="left" vertical="center" wrapText="1"/>
    </xf>
    <xf numFmtId="3" fontId="11" fillId="4" borderId="1" applyAlignment="1" pivotButton="0" quotePrefix="0" xfId="0">
      <alignment horizontal="right" vertical="center"/>
    </xf>
    <xf numFmtId="3" fontId="11" fillId="0" borderId="0" applyAlignment="1" pivotButton="0" quotePrefix="0" xfId="0">
      <alignment horizontal="right" vertical="center"/>
    </xf>
    <xf numFmtId="166" fontId="8" fillId="0" borderId="0" applyAlignment="1" pivotButton="0" quotePrefix="0" xfId="0">
      <alignment horizontal="right" vertical="center"/>
    </xf>
    <xf numFmtId="164" fontId="12" fillId="0" borderId="0" applyAlignment="1" pivotButton="0" quotePrefix="0" xfId="0">
      <alignment horizontal="right" vertical="center"/>
    </xf>
    <xf numFmtId="0" fontId="6" fillId="3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166" fontId="12" fillId="0" borderId="0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wrapText="1"/>
    </xf>
    <xf numFmtId="168" fontId="11" fillId="4" borderId="1" applyAlignment="1" pivotButton="0" quotePrefix="0" xfId="0">
      <alignment horizontal="right" vertical="center"/>
    </xf>
    <xf numFmtId="169" fontId="8" fillId="0" borderId="0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167" fontId="8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left" vertical="center" wrapText="1"/>
    </xf>
    <xf numFmtId="170" fontId="8" fillId="0" borderId="0" applyAlignment="1" pivotButton="0" quotePrefix="0" xfId="0">
      <alignment horizontal="right" vertical="center"/>
    </xf>
    <xf numFmtId="9" fontId="8" fillId="0" borderId="0" applyAlignment="1" pivotButton="0" quotePrefix="0" xfId="0">
      <alignment horizontal="right" vertical="center"/>
    </xf>
    <xf numFmtId="171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2">
    <dxf>
      <fill>
        <patternFill patternType="solid">
          <fgColor rgb="00F8CBAD"/>
          <bgColor rgb="00F8CBAD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2C"/>
    <outlinePr summaryBelow="1" summaryRight="1"/>
    <pageSetUpPr/>
  </sheetPr>
  <dimension ref="B1:B45"/>
  <sheetViews>
    <sheetView workbookViewId="0">
      <selection activeCell="A1" sqref="A1"/>
    </sheetView>
  </sheetViews>
  <sheetFormatPr baseColWidth="8" defaultRowHeight="15"/>
  <cols>
    <col width="2" customWidth="1" min="1" max="1"/>
    <col width="110" customWidth="1" min="2" max="2"/>
  </cols>
  <sheetData>
    <row r="1">
      <c r="B1" s="1" t="inlineStr">
        <is>
          <t>Uncle May's Produce — North Lawndale Food Hub</t>
        </is>
      </c>
    </row>
    <row r="2">
      <c r="B2" s="2" t="inlineStr">
        <is>
          <t>Steans Family Foundation Financial Model</t>
        </is>
      </c>
    </row>
    <row r="3">
      <c r="B3" s="3" t="inlineStr">
        <is>
          <t>3726 W 16th Street, Chicago, IL 60623 | 3,000 sq ft | Black-owned grocery + prepared foods</t>
        </is>
      </c>
    </row>
    <row r="4">
      <c r="B4" s="3" t="inlineStr">
        <is>
          <t>Prepared: May 2026</t>
        </is>
      </c>
    </row>
    <row r="5">
      <c r="B5" s="4" t="inlineStr"/>
    </row>
    <row r="6">
      <c r="B6" s="5" t="inlineStr">
        <is>
          <t>STRUCTURE</t>
        </is>
      </c>
    </row>
    <row r="7">
      <c r="B7" s="4" t="inlineStr">
        <is>
          <t>This workbook is structured around a TWO-PHASE capital deployment:</t>
        </is>
      </c>
    </row>
    <row r="8">
      <c r="B8" s="4" t="inlineStr">
        <is>
          <t xml:space="preserve">    Phase 1 (Months 1-3): Produce-box delivery launch, ~$250K capital</t>
        </is>
      </c>
    </row>
    <row r="9">
      <c r="B9" s="4" t="inlineStr">
        <is>
          <t xml:space="preserve">    Phase 2 (Months 4-7+): Retail buildout and operation, ~$500K capital</t>
        </is>
      </c>
    </row>
    <row r="10">
      <c r="B10" s="4" t="inlineStr">
        <is>
          <t>Phase 2 release is conditional on Phase 1 milestone gates (see 'Milestones' tab).</t>
        </is>
      </c>
    </row>
    <row r="11">
      <c r="B11" s="4" t="inlineStr"/>
    </row>
    <row r="12">
      <c r="B12" s="5" t="inlineStr">
        <is>
          <t>HOW TO USE</t>
        </is>
      </c>
    </row>
    <row r="13">
      <c r="B13" s="4" t="inlineStr">
        <is>
          <t>All blue-font cells on the 'Inputs' tab are user-editable assumptions.</t>
        </is>
      </c>
    </row>
    <row r="14">
      <c r="B14" s="4" t="inlineStr">
        <is>
          <t>Black-font cells are formulas. Do not edit unless you know what you're changing.</t>
        </is>
      </c>
    </row>
    <row r="15">
      <c r="B15" s="4" t="inlineStr">
        <is>
          <t>Green-font cells are cross-tab references.</t>
        </is>
      </c>
    </row>
    <row r="16">
      <c r="B16" s="4" t="inlineStr">
        <is>
          <t>Change any input on 'Inputs' and the entire model recalculates.</t>
        </is>
      </c>
    </row>
    <row r="17">
      <c r="B17" s="4" t="inlineStr"/>
    </row>
    <row r="18">
      <c r="B18" s="5" t="inlineStr">
        <is>
          <t>TAB GUIDE</t>
        </is>
      </c>
    </row>
    <row r="19">
      <c r="B19" s="4" t="inlineStr">
        <is>
          <t xml:space="preserve">    Inputs              All assumptions, color-coded blue</t>
        </is>
      </c>
    </row>
    <row r="20">
      <c r="B20" s="4" t="inlineStr">
        <is>
          <t xml:space="preserve">    Capital Stack       Sources and Uses by tranche</t>
        </is>
      </c>
    </row>
    <row r="21">
      <c r="B21" s="4" t="inlineStr">
        <is>
          <t xml:space="preserve">    Phase 1 Revenue     Produce-box subscriber ramp, monthly Year 1</t>
        </is>
      </c>
    </row>
    <row r="22">
      <c r="B22" s="4" t="inlineStr">
        <is>
          <t xml:space="preserve">    Phase 2 Revenue     Retail department mix, monthly Year 1 + annual Y2-5</t>
        </is>
      </c>
    </row>
    <row r="23">
      <c r="B23" s="4" t="inlineStr">
        <is>
          <t xml:space="preserve">    P&amp;L Monthly Y1      Combined monthly P&amp;L</t>
        </is>
      </c>
    </row>
    <row r="24">
      <c r="B24" s="4" t="inlineStr">
        <is>
          <t xml:space="preserve">    P&amp;L Annual          5-year P&amp;L, 3 scenarios (base / downside / stress)</t>
        </is>
      </c>
    </row>
    <row r="25">
      <c r="B25" s="4" t="inlineStr">
        <is>
          <t xml:space="preserve">    Working Capital     Cash conversion cycle and reserve modeling</t>
        </is>
      </c>
    </row>
    <row r="26">
      <c r="B26" s="4" t="inlineStr">
        <is>
          <t xml:space="preserve">    Debt &amp; DSCR         Debt schedule and coverage ratios</t>
        </is>
      </c>
    </row>
    <row r="27">
      <c r="B27" s="4" t="inlineStr">
        <is>
          <t xml:space="preserve">    Sensitivity         EBITDA sensitivity to revenue, GM, and labor</t>
        </is>
      </c>
    </row>
    <row r="28">
      <c r="B28" s="4" t="inlineStr">
        <is>
          <t xml:space="preserve">    Milestones          Phase 1 to Phase 2 release gates</t>
        </is>
      </c>
    </row>
    <row r="29">
      <c r="B29" s="4" t="inlineStr">
        <is>
          <t xml:space="preserve">    Impact              Steans-format community outcomes</t>
        </is>
      </c>
    </row>
    <row r="30">
      <c r="B30" s="4" t="inlineStr"/>
    </row>
    <row r="31">
      <c r="B31" s="5" t="inlineStr">
        <is>
          <t>KEY ASSUMPTIONS NOTE</t>
        </is>
      </c>
    </row>
    <row r="32">
      <c r="B32" s="4" t="inlineStr">
        <is>
          <t xml:space="preserve">Equipment offset at 3726 W 16th: This model assumes ~$200K of in-place equipment </t>
        </is>
      </c>
    </row>
    <row r="33">
      <c r="B33" s="4" t="inlineStr">
        <is>
          <t>(refrigeration, walk-ins, kitchen black iron, counters, shelving) at the Muldrow space.</t>
        </is>
      </c>
    </row>
    <row r="34">
      <c r="B34" s="4" t="inlineStr">
        <is>
          <t>This is the single largest economic lever and the largest model dependency.</t>
        </is>
      </c>
    </row>
    <row r="35">
      <c r="B35" s="4" t="inlineStr">
        <is>
          <t>An equipment audit prior to final submission is recommended to firm the number.</t>
        </is>
      </c>
    </row>
    <row r="36">
      <c r="B36" s="4" t="inlineStr"/>
    </row>
    <row r="37">
      <c r="B37" s="4" t="inlineStr">
        <is>
          <t>Revenue benchmarks: Industry comparables suggest $300 to $550 per sq ft for</t>
        </is>
      </c>
    </row>
    <row r="38">
      <c r="B38" s="4" t="inlineStr">
        <is>
          <t>small-format underserved-market grocery, building over 18 to 24 months.</t>
        </is>
      </c>
    </row>
    <row r="39">
      <c r="B39" s="4" t="inlineStr">
        <is>
          <t>This model targets ~$200/sf Year 1 (ramp), ~$385/sf Year 2 (stabilized),</t>
        </is>
      </c>
    </row>
    <row r="40">
      <c r="B40" s="4" t="inlineStr">
        <is>
          <t>rising to ~$500/sf by Year 3. See 'Comparables Memo' for sourcing.</t>
        </is>
      </c>
    </row>
    <row r="41">
      <c r="B41" s="4" t="inlineStr"/>
    </row>
    <row r="42">
      <c r="B42" s="5" t="inlineStr">
        <is>
          <t>Color key:</t>
        </is>
      </c>
    </row>
    <row r="43">
      <c r="B43" s="4" t="inlineStr">
        <is>
          <t xml:space="preserve">    Blue font   = user input (editable)</t>
        </is>
      </c>
    </row>
    <row r="44">
      <c r="B44" s="4" t="inlineStr">
        <is>
          <t xml:space="preserve">    Black font  = formula</t>
        </is>
      </c>
    </row>
    <row r="45">
      <c r="B45" s="4" t="inlineStr">
        <is>
          <t xml:space="preserve">    Green font  = cross-tab 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2C"/>
    <outlinePr summaryBelow="1" summaryRight="1"/>
    <pageSetUpPr/>
  </sheetPr>
  <dimension ref="A1:D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60" customWidth="1" min="4" max="4"/>
  </cols>
  <sheetData>
    <row r="1" ht="30" customHeight="1">
      <c r="A1" s="6" t="inlineStr">
        <is>
          <t>Assumption</t>
        </is>
      </c>
      <c r="B1" s="6" t="inlineStr">
        <is>
          <t>Value</t>
        </is>
      </c>
      <c r="C1" s="6" t="inlineStr">
        <is>
          <t>Unit</t>
        </is>
      </c>
      <c r="D1" s="6" t="inlineStr">
        <is>
          <t>Notes / Source</t>
        </is>
      </c>
    </row>
    <row r="2" ht="22" customHeight="1">
      <c r="A2" s="7" t="inlineStr">
        <is>
          <t>PROJECT BASICS</t>
        </is>
      </c>
      <c r="B2" s="8" t="n"/>
      <c r="C2" s="8" t="n"/>
      <c r="D2" s="8" t="n"/>
    </row>
    <row r="3">
      <c r="A3" s="9" t="inlineStr">
        <is>
          <t>Footprint (sq ft)</t>
        </is>
      </c>
      <c r="B3" s="10" t="n">
        <v>3000</v>
      </c>
      <c r="C3" s="11" t="inlineStr">
        <is>
          <t>sq ft</t>
        </is>
      </c>
      <c r="D3" s="11" t="inlineStr">
        <is>
          <t>3726 W 16th St, Muldrow space</t>
        </is>
      </c>
    </row>
    <row r="4">
      <c r="A4" s="9" t="inlineStr">
        <is>
          <t>Phase 1 rent (Months 1-3)</t>
        </is>
      </c>
      <c r="B4" s="12" t="n">
        <v>0</v>
      </c>
      <c r="C4" s="11" t="inlineStr">
        <is>
          <t>$/mo</t>
        </is>
      </c>
      <c r="D4" s="11" t="inlineStr">
        <is>
          <t>90-day rent-free per Muldrow MOU</t>
        </is>
      </c>
    </row>
    <row r="5">
      <c r="A5" s="9" t="inlineStr">
        <is>
          <t>Phase 2 rent subsidized rate</t>
        </is>
      </c>
      <c r="B5" s="13" t="n">
        <v>1</v>
      </c>
      <c r="C5" s="11" t="inlineStr">
        <is>
          <t>$/sf/yr</t>
        </is>
      </c>
      <c r="D5" s="11" t="inlineStr">
        <is>
          <t>Subsidized for first 12 months post-Phase 2 open</t>
        </is>
      </c>
    </row>
    <row r="6">
      <c r="A6" s="9" t="inlineStr">
        <is>
          <t>Market rent (Year 2+)</t>
        </is>
      </c>
      <c r="B6" s="13" t="n">
        <v>18</v>
      </c>
      <c r="C6" s="11" t="inlineStr">
        <is>
          <t>$/sf/yr</t>
        </is>
      </c>
      <c r="D6" s="11" t="inlineStr">
        <is>
          <t>West-side neighborhood retail comp band: $18-$25</t>
        </is>
      </c>
    </row>
    <row r="7">
      <c r="A7" s="9" t="inlineStr">
        <is>
          <t>Phase 2 open month</t>
        </is>
      </c>
      <c r="B7" s="10" t="n">
        <v>7</v>
      </c>
      <c r="C7" s="11" t="inlineStr">
        <is>
          <t>month</t>
        </is>
      </c>
      <c r="D7" s="11" t="inlineStr">
        <is>
          <t>Retail floor opens Month 7</t>
        </is>
      </c>
    </row>
    <row r="8" ht="22" customHeight="1">
      <c r="A8" s="7" t="inlineStr">
        <is>
          <t>PHASE 1 — PRODUCE BOX BUSINESS</t>
        </is>
      </c>
      <c r="B8" s="8" t="n"/>
      <c r="C8" s="8" t="n"/>
      <c r="D8" s="8" t="n"/>
    </row>
    <row r="9">
      <c r="A9" s="9" t="inlineStr">
        <is>
          <t>Average box price</t>
        </is>
      </c>
      <c r="B9" s="12" t="n">
        <v>50</v>
      </c>
      <c r="C9" s="11" t="inlineStr">
        <is>
          <t>$/box</t>
        </is>
      </c>
      <c r="D9" s="11" t="inlineStr">
        <is>
          <t>Range $25-$80 per Anthony; $50 mid-point</t>
        </is>
      </c>
    </row>
    <row r="10">
      <c r="A10" s="9" t="inlineStr">
        <is>
          <t>Box gross margin</t>
        </is>
      </c>
      <c r="B10" s="14" t="n">
        <v>0.25</v>
      </c>
      <c r="C10" s="11" t="inlineStr">
        <is>
          <t>%</t>
        </is>
      </c>
      <c r="D10" s="11" t="inlineStr">
        <is>
          <t>25% per Anthony</t>
        </is>
      </c>
    </row>
    <row r="11">
      <c r="A11" s="9" t="inlineStr">
        <is>
          <t>Boxes per subscriber per month</t>
        </is>
      </c>
      <c r="B11" s="10" t="n">
        <v>4</v>
      </c>
      <c r="C11" s="11" t="inlineStr">
        <is>
          <t>boxes</t>
        </is>
      </c>
      <c r="D11" s="11" t="inlineStr">
        <is>
          <t>Weekly delivery x 4 weeks</t>
        </is>
      </c>
    </row>
    <row r="12">
      <c r="A12" s="9" t="inlineStr">
        <is>
          <t>Delivery cost per box</t>
        </is>
      </c>
      <c r="B12" s="12" t="n">
        <v>4.5</v>
      </c>
      <c r="C12" s="11" t="inlineStr">
        <is>
          <t>$/box</t>
        </is>
      </c>
      <c r="D12" s="11" t="inlineStr">
        <is>
          <t>Variable cost (driver labor, fuel, packaging)</t>
        </is>
      </c>
    </row>
    <row r="13">
      <c r="A13" s="9" t="inlineStr">
        <is>
          <t>One-time order revenue (% of sub revenue)</t>
        </is>
      </c>
      <c r="B13" s="14" t="n">
        <v>0.3</v>
      </c>
      <c r="C13" s="11" t="inlineStr">
        <is>
          <t>%</t>
        </is>
      </c>
      <c r="D13" s="11" t="inlineStr">
        <is>
          <t>Non-subscriber walk-up and one-off orders</t>
        </is>
      </c>
    </row>
    <row r="14">
      <c r="A14" s="9" t="inlineStr">
        <is>
          <t>Monthly subscriber churn</t>
        </is>
      </c>
      <c r="B14" s="14" t="n">
        <v>0.05</v>
      </c>
      <c r="C14" s="11" t="inlineStr">
        <is>
          <t>%</t>
        </is>
      </c>
      <c r="D14" s="11" t="inlineStr">
        <is>
          <t>5% monthly = ~46% annual retention; conservative</t>
        </is>
      </c>
    </row>
    <row r="15">
      <c r="A15" s="9" t="inlineStr">
        <is>
          <t>New subscribers — Month 1</t>
        </is>
      </c>
      <c r="B15" s="10" t="n">
        <v>25</v>
      </c>
      <c r="C15" s="11" t="inlineStr">
        <is>
          <t>subs</t>
        </is>
      </c>
      <c r="D15" s="11" t="inlineStr">
        <is>
          <t>Community launch + Pembroke + friends/family</t>
        </is>
      </c>
    </row>
    <row r="16">
      <c r="A16" s="9" t="inlineStr">
        <is>
          <t>New subscribers — Month 2</t>
        </is>
      </c>
      <c r="B16" s="10" t="n">
        <v>35</v>
      </c>
      <c r="C16" s="11" t="inlineStr">
        <is>
          <t>subs</t>
        </is>
      </c>
      <c r="D16" s="11" t="inlineStr">
        <is>
          <t>Word of mouth and outreach</t>
        </is>
      </c>
    </row>
    <row r="17">
      <c r="A17" s="9" t="inlineStr">
        <is>
          <t>New subscribers — Month 3</t>
        </is>
      </c>
      <c r="B17" s="10" t="n">
        <v>45</v>
      </c>
      <c r="C17" s="11" t="inlineStr">
        <is>
          <t>subs</t>
        </is>
      </c>
      <c r="D17" s="11" t="inlineStr">
        <is>
          <t>Tranche 2 gate threshold = 100 active by end of M3</t>
        </is>
      </c>
    </row>
    <row r="18">
      <c r="A18" s="9" t="inlineStr">
        <is>
          <t>New subscribers — Month 4</t>
        </is>
      </c>
      <c r="B18" s="10" t="n">
        <v>45</v>
      </c>
      <c r="C18" s="11" t="inlineStr">
        <is>
          <t>subs</t>
        </is>
      </c>
    </row>
    <row r="19">
      <c r="A19" s="9" t="inlineStr">
        <is>
          <t>New subscribers — Month 5</t>
        </is>
      </c>
      <c r="B19" s="10" t="n">
        <v>45</v>
      </c>
      <c r="C19" s="11" t="inlineStr">
        <is>
          <t>subs</t>
        </is>
      </c>
    </row>
    <row r="20">
      <c r="A20" s="9" t="inlineStr">
        <is>
          <t>New subscribers — Month 6</t>
        </is>
      </c>
      <c r="B20" s="10" t="n">
        <v>45</v>
      </c>
      <c r="C20" s="11" t="inlineStr">
        <is>
          <t>subs</t>
        </is>
      </c>
    </row>
    <row r="21">
      <c r="A21" s="9" t="inlineStr">
        <is>
          <t>New subscribers — Month 7</t>
        </is>
      </c>
      <c r="B21" s="10" t="n">
        <v>40</v>
      </c>
      <c r="C21" s="11" t="inlineStr">
        <is>
          <t>subs</t>
        </is>
      </c>
      <c r="D21" s="11" t="inlineStr">
        <is>
          <t>Retail launch absorbs some attention</t>
        </is>
      </c>
    </row>
    <row r="22">
      <c r="A22" s="9" t="inlineStr">
        <is>
          <t>New subscribers — Month 8</t>
        </is>
      </c>
      <c r="B22" s="10" t="n">
        <v>35</v>
      </c>
      <c r="C22" s="11" t="inlineStr">
        <is>
          <t>subs</t>
        </is>
      </c>
    </row>
    <row r="23">
      <c r="A23" s="9" t="inlineStr">
        <is>
          <t>New subscribers — Month 9</t>
        </is>
      </c>
      <c r="B23" s="10" t="n">
        <v>30</v>
      </c>
      <c r="C23" s="11" t="inlineStr">
        <is>
          <t>subs</t>
        </is>
      </c>
    </row>
    <row r="24">
      <c r="A24" s="9" t="inlineStr">
        <is>
          <t>New subscribers — Month 10</t>
        </is>
      </c>
      <c r="B24" s="10" t="n">
        <v>25</v>
      </c>
      <c r="C24" s="11" t="inlineStr">
        <is>
          <t>subs</t>
        </is>
      </c>
    </row>
    <row r="25">
      <c r="A25" s="9" t="inlineStr">
        <is>
          <t>New subscribers — Month 11</t>
        </is>
      </c>
      <c r="B25" s="10" t="n">
        <v>25</v>
      </c>
      <c r="C25" s="11" t="inlineStr">
        <is>
          <t>subs</t>
        </is>
      </c>
    </row>
    <row r="26">
      <c r="A26" s="9" t="inlineStr">
        <is>
          <t>New subscribers — Month 12</t>
        </is>
      </c>
      <c r="B26" s="10" t="n">
        <v>25</v>
      </c>
      <c r="C26" s="11" t="inlineStr">
        <is>
          <t>subs</t>
        </is>
      </c>
      <c r="D26" s="11" t="inlineStr">
        <is>
          <t>Steady-state acquisition rate</t>
        </is>
      </c>
    </row>
    <row r="27" ht="22" customHeight="1">
      <c r="A27" s="7" t="inlineStr">
        <is>
          <t>PHASE 2 — RETAIL</t>
        </is>
      </c>
      <c r="B27" s="8" t="n"/>
      <c r="C27" s="8" t="n"/>
      <c r="D27" s="8" t="n"/>
    </row>
    <row r="28">
      <c r="A28" s="9" t="inlineStr">
        <is>
          <t>Retail revenue — Month 7 (open)</t>
        </is>
      </c>
      <c r="B28" s="12" t="n">
        <v>40000</v>
      </c>
      <c r="C28" s="11" t="inlineStr">
        <is>
          <t>$/mo</t>
        </is>
      </c>
      <c r="D28" s="11" t="inlineStr">
        <is>
          <t>Soft open, limited assortment</t>
        </is>
      </c>
    </row>
    <row r="29">
      <c r="A29" s="9" t="inlineStr">
        <is>
          <t>Retail revenue — Month 8</t>
        </is>
      </c>
      <c r="B29" s="12" t="n">
        <v>55000</v>
      </c>
      <c r="C29" s="11" t="inlineStr">
        <is>
          <t>$/mo</t>
        </is>
      </c>
    </row>
    <row r="30">
      <c r="A30" s="9" t="inlineStr">
        <is>
          <t>Retail revenue — Month 9</t>
        </is>
      </c>
      <c r="B30" s="12" t="n">
        <v>70000</v>
      </c>
      <c r="C30" s="11" t="inlineStr">
        <is>
          <t>$/mo</t>
        </is>
      </c>
    </row>
    <row r="31">
      <c r="A31" s="9" t="inlineStr">
        <is>
          <t>Retail revenue — Month 10</t>
        </is>
      </c>
      <c r="B31" s="12" t="n">
        <v>80000</v>
      </c>
      <c r="C31" s="11" t="inlineStr">
        <is>
          <t>$/mo</t>
        </is>
      </c>
    </row>
    <row r="32">
      <c r="A32" s="9" t="inlineStr">
        <is>
          <t>Retail revenue — Month 11</t>
        </is>
      </c>
      <c r="B32" s="12" t="n">
        <v>85000</v>
      </c>
      <c r="C32" s="11" t="inlineStr">
        <is>
          <t>$/mo</t>
        </is>
      </c>
    </row>
    <row r="33">
      <c r="A33" s="9" t="inlineStr">
        <is>
          <t>Retail revenue — Month 12</t>
        </is>
      </c>
      <c r="B33" s="12" t="n">
        <v>90000</v>
      </c>
      <c r="C33" s="11" t="inlineStr">
        <is>
          <t>$/mo</t>
        </is>
      </c>
      <c r="D33" s="11" t="inlineStr">
        <is>
          <t>Year 1 exit run-rate</t>
        </is>
      </c>
    </row>
    <row r="34">
      <c r="A34" s="9" t="inlineStr">
        <is>
          <t>Dry grocery — % of retail mix</t>
        </is>
      </c>
      <c r="B34" s="14" t="n">
        <v>0.3</v>
      </c>
      <c r="C34" s="11" t="inlineStr">
        <is>
          <t>%</t>
        </is>
      </c>
      <c r="D34" s="11" t="inlineStr">
        <is>
          <t>Industry: 35-45%; we run leaner SKU count</t>
        </is>
      </c>
    </row>
    <row r="35">
      <c r="A35" s="9" t="inlineStr">
        <is>
          <t>Dry grocery — gross margin</t>
        </is>
      </c>
      <c r="B35" s="14" t="n">
        <v>0.26</v>
      </c>
      <c r="C35" s="11" t="inlineStr">
        <is>
          <t>%</t>
        </is>
      </c>
      <c r="D35" s="11" t="inlineStr">
        <is>
          <t>Industry 25-28%</t>
        </is>
      </c>
    </row>
    <row r="36">
      <c r="A36" s="9" t="inlineStr">
        <is>
          <t>Produce — % of retail mix</t>
        </is>
      </c>
      <c r="B36" s="14" t="n">
        <v>0.18</v>
      </c>
      <c r="C36" s="11" t="inlineStr">
        <is>
          <t>%</t>
        </is>
      </c>
      <c r="D36" s="11" t="inlineStr">
        <is>
          <t>Pembroke direct sourcing</t>
        </is>
      </c>
    </row>
    <row r="37">
      <c r="A37" s="9" t="inlineStr">
        <is>
          <t>Produce — gross margin</t>
        </is>
      </c>
      <c r="B37" s="14" t="n">
        <v>0.42</v>
      </c>
      <c r="C37" s="11" t="inlineStr">
        <is>
          <t>%</t>
        </is>
      </c>
      <c r="D37" s="11" t="inlineStr">
        <is>
          <t>Industry 38-45% with direct sourcing</t>
        </is>
      </c>
    </row>
    <row r="38">
      <c r="A38" s="9" t="inlineStr">
        <is>
          <t>Dairy — % of retail mix</t>
        </is>
      </c>
      <c r="B38" s="14" t="n">
        <v>0.08</v>
      </c>
      <c r="C38" s="11" t="inlineStr">
        <is>
          <t>%</t>
        </is>
      </c>
    </row>
    <row r="39">
      <c r="A39" s="9" t="inlineStr">
        <is>
          <t>Dairy — gross margin</t>
        </is>
      </c>
      <c r="B39" s="14" t="n">
        <v>0.3</v>
      </c>
      <c r="C39" s="11" t="inlineStr">
        <is>
          <t>%</t>
        </is>
      </c>
    </row>
    <row r="40">
      <c r="A40" s="9" t="inlineStr">
        <is>
          <t>Meat — % of retail mix</t>
        </is>
      </c>
      <c r="B40" s="14" t="n">
        <v>0.08</v>
      </c>
      <c r="C40" s="11" t="inlineStr">
        <is>
          <t>%</t>
        </is>
      </c>
    </row>
    <row r="41">
      <c r="A41" s="9" t="inlineStr">
        <is>
          <t>Meat — gross margin</t>
        </is>
      </c>
      <c r="B41" s="14" t="n">
        <v>0.3</v>
      </c>
      <c r="C41" s="11" t="inlineStr">
        <is>
          <t>%</t>
        </is>
      </c>
    </row>
    <row r="42">
      <c r="A42" s="9" t="inlineStr">
        <is>
          <t>Frozen — % of retail mix</t>
        </is>
      </c>
      <c r="B42" s="14" t="n">
        <v>0.06</v>
      </c>
      <c r="C42" s="11" t="inlineStr">
        <is>
          <t>%</t>
        </is>
      </c>
    </row>
    <row r="43">
      <c r="A43" s="9" t="inlineStr">
        <is>
          <t>Frozen — gross margin</t>
        </is>
      </c>
      <c r="B43" s="14" t="n">
        <v>0.3</v>
      </c>
      <c r="C43" s="11" t="inlineStr">
        <is>
          <t>%</t>
        </is>
      </c>
    </row>
    <row r="44">
      <c r="A44" s="9" t="inlineStr">
        <is>
          <t>Prepared / hot foods — % of retail mix</t>
        </is>
      </c>
      <c r="B44" s="14" t="n">
        <v>0.2</v>
      </c>
      <c r="C44" s="11" t="inlineStr">
        <is>
          <t>%</t>
        </is>
      </c>
      <c r="D44" s="11" t="inlineStr">
        <is>
          <t>Highest-margin category; differentiator</t>
        </is>
      </c>
    </row>
    <row r="45">
      <c r="A45" s="9" t="inlineStr">
        <is>
          <t>Prepared / hot foods — gross margin</t>
        </is>
      </c>
      <c r="B45" s="14" t="n">
        <v>0.5</v>
      </c>
      <c r="C45" s="11" t="inlineStr">
        <is>
          <t>%</t>
        </is>
      </c>
      <c r="D45" s="11" t="inlineStr">
        <is>
          <t>Industry 45-60%</t>
        </is>
      </c>
    </row>
    <row r="46">
      <c r="A46" s="9" t="inlineStr">
        <is>
          <t>Deli / bakery — % of retail mix</t>
        </is>
      </c>
      <c r="B46" s="14" t="n">
        <v>0.05</v>
      </c>
      <c r="C46" s="11" t="inlineStr">
        <is>
          <t>%</t>
        </is>
      </c>
    </row>
    <row r="47">
      <c r="A47" s="9" t="inlineStr">
        <is>
          <t>Deli / bakery — gross margin</t>
        </is>
      </c>
      <c r="B47" s="14" t="n">
        <v>0.38</v>
      </c>
      <c r="C47" s="11" t="inlineStr">
        <is>
          <t>%</t>
        </is>
      </c>
    </row>
    <row r="48">
      <c r="A48" s="9" t="inlineStr">
        <is>
          <t>Private label — % of retail mix</t>
        </is>
      </c>
      <c r="B48" s="14" t="n">
        <v>0.05</v>
      </c>
      <c r="C48" s="11" t="inlineStr">
        <is>
          <t>%</t>
        </is>
      </c>
      <c r="D48" s="11" t="inlineStr">
        <is>
          <t>Uncle May's branded goods</t>
        </is>
      </c>
    </row>
    <row r="49">
      <c r="A49" s="9" t="inlineStr">
        <is>
          <t>Private label — gross margin</t>
        </is>
      </c>
      <c r="B49" s="14" t="n">
        <v>0.45</v>
      </c>
      <c r="C49" s="11" t="inlineStr">
        <is>
          <t>%</t>
        </is>
      </c>
    </row>
    <row r="50">
      <c r="A50" s="9" t="inlineStr">
        <is>
          <t>Retail revenue Y2 growth</t>
        </is>
      </c>
      <c r="B50" s="14" t="n">
        <v>0.2</v>
      </c>
      <c r="C50" s="11" t="inlineStr">
        <is>
          <t>%</t>
        </is>
      </c>
      <c r="D50" s="11" t="inlineStr">
        <is>
          <t>Y1 exit run-rate $90K/mo annualized + 20% growth</t>
        </is>
      </c>
    </row>
    <row r="51">
      <c r="A51" s="9" t="inlineStr">
        <is>
          <t>Retail revenue Y3 growth</t>
        </is>
      </c>
      <c r="B51" s="14" t="n">
        <v>0.15</v>
      </c>
      <c r="C51" s="11" t="inlineStr">
        <is>
          <t>%</t>
        </is>
      </c>
      <c r="D51" s="11" t="inlineStr">
        <is>
          <t>Stabilization</t>
        </is>
      </c>
    </row>
    <row r="52">
      <c r="A52" s="9" t="inlineStr">
        <is>
          <t>Retail revenue Y4 growth</t>
        </is>
      </c>
      <c r="B52" s="14" t="n">
        <v>0.08</v>
      </c>
      <c r="C52" s="11" t="inlineStr">
        <is>
          <t>%</t>
        </is>
      </c>
    </row>
    <row r="53">
      <c r="A53" s="9" t="inlineStr">
        <is>
          <t>Retail revenue Y5 growth</t>
        </is>
      </c>
      <c r="B53" s="14" t="n">
        <v>0.05</v>
      </c>
      <c r="C53" s="11" t="inlineStr">
        <is>
          <t>%</t>
        </is>
      </c>
      <c r="D53" s="11" t="inlineStr">
        <is>
          <t>Mature steady-state</t>
        </is>
      </c>
    </row>
    <row r="54">
      <c r="A54" s="9" t="inlineStr">
        <is>
          <t>Y2 produce subscribers (avg active)</t>
        </is>
      </c>
      <c r="B54" s="10" t="n">
        <v>350</v>
      </c>
      <c r="C54" s="11" t="inlineStr">
        <is>
          <t>subs</t>
        </is>
      </c>
      <c r="D54" s="11" t="inlineStr">
        <is>
          <t>Citywide delivery, Phase 1 hardened (avg over Y2)</t>
        </is>
      </c>
    </row>
    <row r="55">
      <c r="A55" s="9" t="inlineStr">
        <is>
          <t>Y3 produce subscribers (avg active)</t>
        </is>
      </c>
      <c r="B55" s="10" t="n">
        <v>450</v>
      </c>
      <c r="C55" s="11" t="inlineStr">
        <is>
          <t>subs</t>
        </is>
      </c>
    </row>
    <row r="56">
      <c r="A56" s="9" t="inlineStr">
        <is>
          <t>Y4 produce subscribers (avg active)</t>
        </is>
      </c>
      <c r="B56" s="10" t="n">
        <v>500</v>
      </c>
      <c r="C56" s="11" t="inlineStr">
        <is>
          <t>subs</t>
        </is>
      </c>
    </row>
    <row r="57">
      <c r="A57" s="9" t="inlineStr">
        <is>
          <t>Y5 produce subscribers (avg active)</t>
        </is>
      </c>
      <c r="B57" s="10" t="n">
        <v>525</v>
      </c>
      <c r="C57" s="11" t="inlineStr">
        <is>
          <t>subs</t>
        </is>
      </c>
      <c r="D57" s="11" t="inlineStr">
        <is>
          <t>Mature steady-state</t>
        </is>
      </c>
    </row>
    <row r="58" ht="22" customHeight="1">
      <c r="A58" s="7" t="inlineStr">
        <is>
          <t>OPERATING EXPENSES</t>
        </is>
      </c>
      <c r="B58" s="8" t="n"/>
      <c r="C58" s="8" t="n"/>
      <c r="D58" s="8" t="n"/>
    </row>
    <row r="59">
      <c r="A59" s="9" t="inlineStr">
        <is>
          <t>Wage rate (avg loaded)</t>
        </is>
      </c>
      <c r="B59" s="13" t="n">
        <v>18.4</v>
      </c>
      <c r="C59" s="11" t="inlineStr">
        <is>
          <t>$/hr</t>
        </is>
      </c>
      <c r="D59" s="11" t="inlineStr">
        <is>
          <t>$16/hr base + 15% taxes/benefits</t>
        </is>
      </c>
    </row>
    <row r="60">
      <c r="A60" s="9" t="inlineStr">
        <is>
          <t>FTE hours per month</t>
        </is>
      </c>
      <c r="B60" s="10" t="n">
        <v>173</v>
      </c>
      <c r="C60" s="11" t="inlineStr">
        <is>
          <t>hrs</t>
        </is>
      </c>
      <c r="D60" s="11" t="inlineStr">
        <is>
          <t>40 hr/wk x 4.33 weeks</t>
        </is>
      </c>
    </row>
    <row r="61">
      <c r="A61" s="9" t="inlineStr">
        <is>
          <t>Phase 1 FTE — Months 1-3</t>
        </is>
      </c>
      <c r="B61" s="10" t="n">
        <v>5</v>
      </c>
      <c r="C61" s="11" t="inlineStr">
        <is>
          <t>FTE</t>
        </is>
      </c>
      <c r="D61" s="11" t="inlineStr">
        <is>
          <t>Drivers, packers, ops manager, kitchen prep</t>
        </is>
      </c>
    </row>
    <row r="62">
      <c r="A62" s="9" t="inlineStr">
        <is>
          <t>Phase 1 FTE — Months 4-6</t>
        </is>
      </c>
      <c r="B62" s="10" t="n">
        <v>6</v>
      </c>
      <c r="C62" s="11" t="inlineStr">
        <is>
          <t>FTE</t>
        </is>
      </c>
    </row>
    <row r="63">
      <c r="A63" s="9" t="inlineStr">
        <is>
          <t>Phase 2 FTE — Months 7-9</t>
        </is>
      </c>
      <c r="B63" s="10" t="n">
        <v>8</v>
      </c>
      <c r="C63" s="11" t="inlineStr">
        <is>
          <t>FTE</t>
        </is>
      </c>
      <c r="D63" s="11" t="inlineStr">
        <is>
          <t>Retail launch</t>
        </is>
      </c>
    </row>
    <row r="64">
      <c r="A64" s="9" t="inlineStr">
        <is>
          <t>Phase 2 FTE — Months 10-12</t>
        </is>
      </c>
      <c r="B64" s="10" t="n">
        <v>9</v>
      </c>
      <c r="C64" s="11" t="inlineStr">
        <is>
          <t>FTE</t>
        </is>
      </c>
    </row>
    <row r="65">
      <c r="A65" s="9" t="inlineStr">
        <is>
          <t>Y2 FTE — average</t>
        </is>
      </c>
      <c r="B65" s="15" t="n">
        <v>11</v>
      </c>
      <c r="C65" s="11" t="inlineStr">
        <is>
          <t>FTE</t>
        </is>
      </c>
      <c r="D65" s="11" t="inlineStr">
        <is>
          <t>#,##0</t>
        </is>
      </c>
    </row>
    <row r="66">
      <c r="A66" s="9" t="inlineStr">
        <is>
          <t>Y3 FTE — average</t>
        </is>
      </c>
      <c r="B66" s="15" t="n">
        <v>12</v>
      </c>
      <c r="C66" s="11" t="inlineStr">
        <is>
          <t>FTE</t>
        </is>
      </c>
      <c r="D66" s="11" t="inlineStr">
        <is>
          <t>#,##0</t>
        </is>
      </c>
    </row>
    <row r="67">
      <c r="A67" s="9" t="inlineStr">
        <is>
          <t>Y4 FTE — average</t>
        </is>
      </c>
      <c r="B67" s="15" t="n">
        <v>13</v>
      </c>
      <c r="C67" s="11" t="inlineStr">
        <is>
          <t>FTE</t>
        </is>
      </c>
      <c r="D67" s="11" t="inlineStr">
        <is>
          <t>#,##0</t>
        </is>
      </c>
    </row>
    <row r="68">
      <c r="A68" s="9" t="inlineStr">
        <is>
          <t>Y5 FTE — average</t>
        </is>
      </c>
      <c r="B68" s="15" t="n">
        <v>14</v>
      </c>
      <c r="C68" s="11" t="inlineStr">
        <is>
          <t>FTE</t>
        </is>
      </c>
      <c r="D68" s="11" t="inlineStr">
        <is>
          <t>#,##0</t>
        </is>
      </c>
    </row>
    <row r="69">
      <c r="A69" s="9" t="inlineStr">
        <is>
          <t>Utilities (Phase 1, MOU absorbs)</t>
        </is>
      </c>
      <c r="B69" s="12" t="n">
        <v>0</v>
      </c>
      <c r="C69" s="11" t="inlineStr">
        <is>
          <t>$/mo</t>
        </is>
      </c>
      <c r="D69" s="11" t="inlineStr">
        <is>
          <t>Per Muldrow MOU during Phase 1</t>
        </is>
      </c>
    </row>
    <row r="70">
      <c r="A70" s="9" t="inlineStr">
        <is>
          <t>Utilities (Phase 2, monthly)</t>
        </is>
      </c>
      <c r="B70" s="12" t="n">
        <v>2500</v>
      </c>
      <c r="C70" s="11" t="inlineStr">
        <is>
          <t>$/mo</t>
        </is>
      </c>
      <c r="D70" s="11" t="inlineStr">
        <is>
          <t>Electricity, water, gas, internet</t>
        </is>
      </c>
    </row>
    <row r="71">
      <c r="A71" s="9" t="inlineStr">
        <is>
          <t>Insurance (annual)</t>
        </is>
      </c>
      <c r="B71" s="12" t="n">
        <v>12000</v>
      </c>
      <c r="C71" s="11" t="inlineStr">
        <is>
          <t>$/yr</t>
        </is>
      </c>
      <c r="D71" s="11" t="inlineStr">
        <is>
          <t>GL + property + workers comp</t>
        </is>
      </c>
    </row>
    <row r="72">
      <c r="A72" s="9" t="inlineStr">
        <is>
          <t>POS / technology (monthly)</t>
        </is>
      </c>
      <c r="B72" s="12" t="n">
        <v>600</v>
      </c>
      <c r="C72" s="11" t="inlineStr">
        <is>
          <t>$/mo</t>
        </is>
      </c>
      <c r="D72" s="11" t="inlineStr">
        <is>
          <t>Software + hardware service</t>
        </is>
      </c>
    </row>
    <row r="73">
      <c r="A73" s="9" t="inlineStr">
        <is>
          <t>Cleaning / supplies (monthly)</t>
        </is>
      </c>
      <c r="B73" s="12" t="n">
        <v>700</v>
      </c>
      <c r="C73" s="11" t="inlineStr">
        <is>
          <t>$/mo</t>
        </is>
      </c>
      <c r="D73" s="11" t="inlineStr">
        <is>
          <t>Consumables</t>
        </is>
      </c>
    </row>
    <row r="74">
      <c r="A74" s="9" t="inlineStr">
        <is>
          <t>Marketing / outreach (monthly Y1)</t>
        </is>
      </c>
      <c r="B74" s="12" t="n">
        <v>2000</v>
      </c>
      <c r="C74" s="11" t="inlineStr">
        <is>
          <t>$/mo</t>
        </is>
      </c>
      <c r="D74" s="11" t="inlineStr">
        <is>
          <t>Local press, community events, social</t>
        </is>
      </c>
    </row>
    <row r="75">
      <c r="A75" s="9" t="inlineStr">
        <is>
          <t>Vehicle / delivery overhead</t>
        </is>
      </c>
      <c r="B75" s="12" t="n">
        <v>1500</v>
      </c>
      <c r="C75" s="11" t="inlineStr">
        <is>
          <t>$/mo</t>
        </is>
      </c>
      <c r="D75" s="11" t="inlineStr">
        <is>
          <t>Vehicle lease or shared, maintenance</t>
        </is>
      </c>
    </row>
    <row r="76">
      <c r="A76" s="9" t="inlineStr">
        <is>
          <t>Professional fees (monthly)</t>
        </is>
      </c>
      <c r="B76" s="12" t="n">
        <v>800</v>
      </c>
      <c r="C76" s="11" t="inlineStr">
        <is>
          <t>$/mo</t>
        </is>
      </c>
      <c r="D76" s="11" t="inlineStr">
        <is>
          <t>Legal, accounting, compliance</t>
        </is>
      </c>
    </row>
    <row r="77">
      <c r="A77" s="9" t="inlineStr">
        <is>
          <t>Shrink / waste (% of retail revenue)</t>
        </is>
      </c>
      <c r="B77" s="14" t="n">
        <v>0.03</v>
      </c>
      <c r="C77" s="11" t="inlineStr">
        <is>
          <t>%</t>
        </is>
      </c>
      <c r="D77" s="11" t="inlineStr">
        <is>
          <t>Industry 2-4%; produce-heavy at upper end</t>
        </is>
      </c>
    </row>
    <row r="78" ht="22" customHeight="1">
      <c r="A78" s="7" t="inlineStr">
        <is>
          <t>CAPITAL STACK</t>
        </is>
      </c>
      <c r="B78" s="8" t="n"/>
      <c r="C78" s="8" t="n"/>
      <c r="D78" s="8" t="n"/>
    </row>
    <row r="79">
      <c r="A79" s="9" t="inlineStr">
        <is>
          <t>Tranche 1 (Phase 1 launch)</t>
        </is>
      </c>
      <c r="B79" s="12" t="n">
        <v>250000</v>
      </c>
      <c r="C79" s="11" t="inlineStr">
        <is>
          <t>$</t>
        </is>
      </c>
      <c r="D79" s="11" t="inlineStr">
        <is>
          <t>Phase 1 produce-box business</t>
        </is>
      </c>
    </row>
    <row r="80">
      <c r="A80" s="9" t="inlineStr">
        <is>
          <t>Tranche 2 (Phase 2 retail)</t>
        </is>
      </c>
      <c r="B80" s="12" t="n">
        <v>500000</v>
      </c>
      <c r="C80" s="11" t="inlineStr">
        <is>
          <t>$</t>
        </is>
      </c>
      <c r="D80" s="11" t="inlineStr">
        <is>
          <t>Conditional on Phase 1 milestones</t>
        </is>
      </c>
    </row>
    <row r="81">
      <c r="A81" s="9" t="inlineStr">
        <is>
          <t>Workforce dev grant (T1 portion)</t>
        </is>
      </c>
      <c r="B81" s="12" t="n">
        <v>100000</v>
      </c>
      <c r="C81" s="11" t="inlineStr">
        <is>
          <t>$</t>
        </is>
      </c>
      <c r="D81" s="11" t="inlineStr">
        <is>
          <t>Year 1 staffing offset, Phase 1</t>
        </is>
      </c>
    </row>
    <row r="82">
      <c r="A82" s="9" t="inlineStr">
        <is>
          <t>Workforce dev grant (T2 portion)</t>
        </is>
      </c>
      <c r="B82" s="12" t="n">
        <v>50000</v>
      </c>
      <c r="C82" s="11" t="inlineStr">
        <is>
          <t>$</t>
        </is>
      </c>
      <c r="D82" s="11" t="inlineStr">
        <is>
          <t>Year 1 staffing offset, Phase 2</t>
        </is>
      </c>
    </row>
    <row r="83">
      <c r="A83" s="9" t="inlineStr">
        <is>
          <t>Term debt — Phase 1 portion</t>
        </is>
      </c>
      <c r="B83" s="12" t="n">
        <v>100000</v>
      </c>
      <c r="C83" s="11" t="inlineStr">
        <is>
          <t>$</t>
        </is>
      </c>
      <c r="D83" s="11" t="inlineStr">
        <is>
          <t>Equipment + inventory; 7-yr amort, 6%</t>
        </is>
      </c>
    </row>
    <row r="84">
      <c r="A84" s="9" t="inlineStr">
        <is>
          <t>Term debt — Phase 2 portion</t>
        </is>
      </c>
      <c r="B84" s="12" t="n">
        <v>350000</v>
      </c>
      <c r="C84" s="11" t="inlineStr">
        <is>
          <t>$</t>
        </is>
      </c>
      <c r="D84" s="11" t="inlineStr">
        <is>
          <t>Buildout + equipment + inventory; 7-yr amort, 6%</t>
        </is>
      </c>
    </row>
    <row r="85">
      <c r="A85" s="9" t="inlineStr">
        <is>
          <t>Subordinated debt — Phase 1 reserve</t>
        </is>
      </c>
      <c r="B85" s="12" t="n">
        <v>50000</v>
      </c>
      <c r="C85" s="11" t="inlineStr">
        <is>
          <t>$</t>
        </is>
      </c>
      <c r="D85" s="11" t="inlineStr">
        <is>
          <t>Phase 1 cash buffer; 7-yr, 4% (PRI-style)</t>
        </is>
      </c>
    </row>
    <row r="86">
      <c r="A86" s="9" t="inlineStr">
        <is>
          <t>Operating reserve (subordinated)</t>
        </is>
      </c>
      <c r="B86" s="12" t="n">
        <v>100000</v>
      </c>
      <c r="C86" s="11" t="inlineStr">
        <is>
          <t>$</t>
        </is>
      </c>
      <c r="D86" s="11" t="inlineStr">
        <is>
          <t>6-9 months Phase 2 opex; T2 only</t>
        </is>
      </c>
    </row>
    <row r="87">
      <c r="A87" s="9" t="inlineStr">
        <is>
          <t>Line of credit facility</t>
        </is>
      </c>
      <c r="B87" s="12" t="n">
        <v>100000</v>
      </c>
      <c r="C87" s="11" t="inlineStr">
        <is>
          <t>$</t>
        </is>
      </c>
      <c r="D87" s="11" t="inlineStr">
        <is>
          <t>Revolving for working capital and CCC drag</t>
        </is>
      </c>
    </row>
    <row r="88">
      <c r="A88" s="9" t="inlineStr">
        <is>
          <t>LoC interest rate</t>
        </is>
      </c>
      <c r="B88" s="14" t="n">
        <v>0.08500000000000001</v>
      </c>
      <c r="C88" s="11" t="inlineStr">
        <is>
          <t>%</t>
        </is>
      </c>
      <c r="D88" s="11" t="inlineStr">
        <is>
          <t>Prime + 1, approximate</t>
        </is>
      </c>
    </row>
    <row r="89">
      <c r="A89" s="9" t="inlineStr">
        <is>
          <t>Term debt interest rate</t>
        </is>
      </c>
      <c r="B89" s="14" t="n">
        <v>0.06</v>
      </c>
      <c r="C89" s="11" t="inlineStr">
        <is>
          <t>%</t>
        </is>
      </c>
      <c r="D89" s="11" t="inlineStr">
        <is>
          <t>Below-market Steans-style PRI</t>
        </is>
      </c>
    </row>
    <row r="90">
      <c r="A90" s="9" t="inlineStr">
        <is>
          <t>Term debt amortization (years)</t>
        </is>
      </c>
      <c r="B90" s="15" t="n">
        <v>7</v>
      </c>
      <c r="C90" s="11" t="inlineStr">
        <is>
          <t>years</t>
        </is>
      </c>
      <c r="D90" s="11" t="inlineStr">
        <is>
          <t>#,##0</t>
        </is>
      </c>
    </row>
    <row r="91">
      <c r="A91" s="9" t="inlineStr">
        <is>
          <t>Average LoC drawn (Y1)</t>
        </is>
      </c>
      <c r="B91" s="12" t="n">
        <v>60000</v>
      </c>
      <c r="C91" s="11" t="inlineStr">
        <is>
          <t>$</t>
        </is>
      </c>
      <c r="D91" s="11" t="inlineStr">
        <is>
          <t>CCC drag during ramp</t>
        </is>
      </c>
    </row>
    <row r="92">
      <c r="A92" s="9" t="inlineStr">
        <is>
          <t>Average LoC drawn (Y2)</t>
        </is>
      </c>
      <c r="B92" s="12" t="n">
        <v>30000</v>
      </c>
      <c r="C92" s="11" t="inlineStr">
        <is>
          <t>$</t>
        </is>
      </c>
      <c r="D92" s="11" t="inlineStr">
        <is>
          <t>Improving as vendor terms earn out</t>
        </is>
      </c>
    </row>
    <row r="93" ht="22" customHeight="1">
      <c r="A93" s="7" t="inlineStr">
        <is>
          <t>WORKING CAPITAL</t>
        </is>
      </c>
      <c r="B93" s="8" t="n"/>
      <c r="C93" s="8" t="n"/>
      <c r="D93" s="8" t="n"/>
    </row>
    <row r="94">
      <c r="A94" s="9" t="inlineStr">
        <is>
          <t>Days Inventory Outstanding (Y1)</t>
        </is>
      </c>
      <c r="B94" s="10" t="n">
        <v>25</v>
      </c>
      <c r="C94" s="11" t="inlineStr">
        <is>
          <t>days</t>
        </is>
      </c>
      <c r="D94" s="11" t="inlineStr">
        <is>
          <t>Independent ramp; mostly fresh</t>
        </is>
      </c>
    </row>
    <row r="95">
      <c r="A95" s="9" t="inlineStr">
        <is>
          <t>Days Inventory Outstanding (Y2+)</t>
        </is>
      </c>
      <c r="B95" s="10" t="n">
        <v>22</v>
      </c>
      <c r="C95" s="11" t="inlineStr">
        <is>
          <t>days</t>
        </is>
      </c>
      <c r="D95" s="11" t="inlineStr">
        <is>
          <t>Mature, mix shifts to faster turn</t>
        </is>
      </c>
    </row>
    <row r="96">
      <c r="A96" s="9" t="inlineStr">
        <is>
          <t>Days Payable Outstanding (Y1)</t>
        </is>
      </c>
      <c r="B96" s="10" t="n">
        <v>12</v>
      </c>
      <c r="C96" s="11" t="inlineStr">
        <is>
          <t>days</t>
        </is>
      </c>
      <c r="D96" s="11" t="inlineStr">
        <is>
          <t>New independent; vendors require Net 7-15</t>
        </is>
      </c>
    </row>
    <row r="97">
      <c r="A97" s="9" t="inlineStr">
        <is>
          <t>Days Payable Outstanding (Y2+)</t>
        </is>
      </c>
      <c r="B97" s="10" t="n">
        <v>25</v>
      </c>
      <c r="C97" s="11" t="inlineStr">
        <is>
          <t>days</t>
        </is>
      </c>
      <c r="D97" s="11" t="inlineStr">
        <is>
          <t>Earned over 12-18 months</t>
        </is>
      </c>
    </row>
    <row r="98">
      <c r="A98" s="9" t="inlineStr">
        <is>
          <t>Days Sales Outstanding</t>
        </is>
      </c>
      <c r="B98" s="10" t="n">
        <v>1</v>
      </c>
      <c r="C98" s="11" t="inlineStr">
        <is>
          <t>days</t>
        </is>
      </c>
      <c r="D98" s="11" t="inlineStr">
        <is>
          <t>Card float</t>
        </is>
      </c>
    </row>
    <row r="99">
      <c r="A99" s="9" t="inlineStr">
        <is>
          <t>Opening assortment investment</t>
        </is>
      </c>
      <c r="B99" s="12" t="n">
        <v>100000</v>
      </c>
      <c r="C99" s="11" t="inlineStr">
        <is>
          <t>$</t>
        </is>
      </c>
      <c r="D99" s="11" t="inlineStr">
        <is>
          <t>Day-1 shelf fill; partly liquidates over Months 1-6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9A02E"/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50" customWidth="1" min="5" max="5"/>
  </cols>
  <sheetData>
    <row r="1" ht="30" customHeight="1">
      <c r="A1" s="6" t="inlineStr">
        <is>
          <t>Sources &amp; Uses</t>
        </is>
      </c>
      <c r="B1" s="6" t="inlineStr">
        <is>
          <t>Tranche 1</t>
        </is>
      </c>
      <c r="C1" s="6" t="inlineStr">
        <is>
          <t>Tranche 2</t>
        </is>
      </c>
      <c r="D1" s="6" t="inlineStr">
        <is>
          <t>Total</t>
        </is>
      </c>
      <c r="E1" s="6" t="inlineStr">
        <is>
          <t>Notes / Instrument</t>
        </is>
      </c>
    </row>
    <row r="2" ht="22" customHeight="1">
      <c r="A2" s="7" t="inlineStr">
        <is>
          <t>SOURCES</t>
        </is>
      </c>
      <c r="B2" s="8" t="n"/>
      <c r="C2" s="8" t="n"/>
      <c r="D2" s="8" t="n"/>
      <c r="E2" s="8" t="n"/>
    </row>
    <row r="3">
      <c r="A3" s="9" t="inlineStr">
        <is>
          <t>Workforce development grant</t>
        </is>
      </c>
      <c r="B3" s="16">
        <f>Inputs!$B$81</f>
        <v/>
      </c>
      <c r="C3" s="16">
        <f>Inputs!$B$82</f>
        <v/>
      </c>
      <c r="D3" s="16">
        <f>B3+C3</f>
        <v/>
      </c>
      <c r="E3" s="11" t="inlineStr">
        <is>
          <t>Steans-aligned: NLW priority is workforce/jobs/economic opportunity</t>
        </is>
      </c>
    </row>
    <row r="4">
      <c r="A4" s="9" t="inlineStr">
        <is>
          <t>Term debt (subordinated, below-market)</t>
        </is>
      </c>
      <c r="B4" s="16">
        <f>Inputs!$B$83</f>
        <v/>
      </c>
      <c r="C4" s="16">
        <f>Inputs!$B$84</f>
        <v/>
      </c>
      <c r="D4" s="16">
        <f>B4+C4</f>
        <v/>
      </c>
      <c r="E4" s="11" t="inlineStr">
        <is>
          <t>PRI-style 6%, 7-year amortization</t>
        </is>
      </c>
    </row>
    <row r="5">
      <c r="A5" s="9" t="inlineStr">
        <is>
          <t>Subordinated debt (Phase 1 reserve)</t>
        </is>
      </c>
      <c r="B5" s="16">
        <f>Inputs!$B$85</f>
        <v/>
      </c>
      <c r="C5" s="12" t="n">
        <v>0</v>
      </c>
      <c r="D5" s="16">
        <f>B5+C5</f>
        <v/>
      </c>
      <c r="E5" s="11" t="inlineStr">
        <is>
          <t>Phase 1 cash buffer; below-market PRI-style</t>
        </is>
      </c>
    </row>
    <row r="6">
      <c r="A6" s="9" t="inlineStr">
        <is>
          <t>Operating reserve (subordinated, Phase 2)</t>
        </is>
      </c>
      <c r="B6" s="12" t="n">
        <v>0</v>
      </c>
      <c r="C6" s="16">
        <f>Inputs!$B$86</f>
        <v/>
      </c>
      <c r="D6" s="16">
        <f>B6+C6</f>
        <v/>
      </c>
      <c r="E6" s="11" t="inlineStr">
        <is>
          <t>6-9 months Phase 2 opex; held in cash at Tranche 2 close</t>
        </is>
      </c>
    </row>
    <row r="7">
      <c r="A7" s="17" t="inlineStr">
        <is>
          <t>Total sources (deployed at close)</t>
        </is>
      </c>
      <c r="B7" s="18">
        <f>SUM(B3:B6)</f>
        <v/>
      </c>
      <c r="C7" s="18">
        <f>SUM(C3:C6)</f>
        <v/>
      </c>
      <c r="D7" s="18">
        <f>B7+C7</f>
        <v/>
      </c>
      <c r="E7" s="17" t="n"/>
    </row>
    <row r="8">
      <c r="A8" s="9" t="inlineStr">
        <is>
          <t>Plus: Line of credit facility (off-balance, drawable)</t>
        </is>
      </c>
      <c r="B8" s="16">
        <f>Inputs!$B$87</f>
        <v/>
      </c>
      <c r="C8" s="12" t="n">
        <v>0</v>
      </c>
      <c r="D8" s="16">
        <f>B8+C8</f>
        <v/>
      </c>
      <c r="E8" s="11" t="inlineStr">
        <is>
          <t>Revolving facility, draws as needed; not deployed at close</t>
        </is>
      </c>
    </row>
    <row r="10" ht="22" customHeight="1">
      <c r="A10" s="7" t="inlineStr">
        <is>
          <t>USES — TRANCHE 1 (Phase 1 produce-box launch)</t>
        </is>
      </c>
      <c r="B10" s="8" t="n"/>
      <c r="C10" s="8" t="n"/>
      <c r="D10" s="8" t="n"/>
      <c r="E10" s="8" t="n"/>
    </row>
    <row r="11">
      <c r="A11" s="9" t="inlineStr">
        <is>
          <t>Equipment supplements (delivery, packing, refrig top-up)</t>
        </is>
      </c>
      <c r="B11" s="12" t="n">
        <v>50000</v>
      </c>
      <c r="C11" s="12" t="n">
        <v>0</v>
      </c>
      <c r="D11" s="16">
        <f>B11+C11</f>
        <v/>
      </c>
      <c r="E11" s="11" t="inlineStr">
        <is>
          <t>Subject to equipment audit</t>
        </is>
      </c>
    </row>
    <row r="12">
      <c r="A12" s="9" t="inlineStr">
        <is>
          <t>Initial inventory (90-day produce + dry goods + packaging)</t>
        </is>
      </c>
      <c r="B12" s="12" t="n">
        <v>70000</v>
      </c>
      <c r="C12" s="12" t="n">
        <v>0</v>
      </c>
      <c r="D12" s="16">
        <f>B12+C12</f>
        <v/>
      </c>
      <c r="E12" s="11" t="inlineStr">
        <is>
          <t>Phase 1 produce + light retail prep</t>
        </is>
      </c>
    </row>
    <row r="13">
      <c r="A13" s="9" t="inlineStr">
        <is>
          <t>Phase 1 staffing (5-7 FTE x 3-6 months net of grant)</t>
        </is>
      </c>
      <c r="B13" s="12" t="n">
        <v>35000</v>
      </c>
      <c r="C13" s="12" t="n">
        <v>0</v>
      </c>
      <c r="D13" s="16">
        <f>B13+C13</f>
        <v/>
      </c>
      <c r="E13" s="11" t="inlineStr">
        <is>
          <t>Workforce grant absorbs majority</t>
        </is>
      </c>
    </row>
    <row r="14">
      <c r="A14" s="9" t="inlineStr">
        <is>
          <t>Working capital reserve (Phase 1)</t>
        </is>
      </c>
      <c r="B14" s="12" t="n">
        <v>30000</v>
      </c>
      <c r="C14" s="12" t="n">
        <v>0</v>
      </c>
      <c r="D14" s="16">
        <f>B14+C14</f>
        <v/>
      </c>
      <c r="E14" s="11" t="inlineStr">
        <is>
          <t>CCC drag during ramp</t>
        </is>
      </c>
    </row>
    <row r="15">
      <c r="A15" s="9" t="inlineStr">
        <is>
          <t>Outreach, marketing, permits, legal</t>
        </is>
      </c>
      <c r="B15" s="12" t="n">
        <v>30000</v>
      </c>
      <c r="C15" s="12" t="n">
        <v>0</v>
      </c>
      <c r="D15" s="16">
        <f>B15+C15</f>
        <v/>
      </c>
      <c r="E15" s="11" t="inlineStr">
        <is>
          <t>Community launch, brand, registrations</t>
        </is>
      </c>
    </row>
    <row r="16">
      <c r="A16" s="9" t="inlineStr">
        <is>
          <t>Software, POS, ops infrastructure</t>
        </is>
      </c>
      <c r="B16" s="12" t="n">
        <v>20000</v>
      </c>
      <c r="C16" s="12" t="n">
        <v>0</v>
      </c>
      <c r="D16" s="16">
        <f>B16+C16</f>
        <v/>
      </c>
      <c r="E16" s="11" t="inlineStr">
        <is>
          <t>Subscription mgmt, route optimization, basic POS</t>
        </is>
      </c>
    </row>
    <row r="17">
      <c r="A17" s="9" t="inlineStr">
        <is>
          <t>Tranche 1 contingency (6%)</t>
        </is>
      </c>
      <c r="B17" s="12" t="n">
        <v>15000</v>
      </c>
      <c r="C17" s="12" t="n">
        <v>0</v>
      </c>
      <c r="D17" s="16">
        <f>B17+C17</f>
        <v/>
      </c>
    </row>
    <row r="18">
      <c r="A18" s="17" t="inlineStr">
        <is>
          <t xml:space="preserve">    Total Tranche 1 uses</t>
        </is>
      </c>
      <c r="B18" s="18">
        <f>SUM(B11:B17)</f>
        <v/>
      </c>
      <c r="C18" s="18">
        <f>0</f>
        <v/>
      </c>
      <c r="D18" s="18">
        <f>B18+C18</f>
        <v/>
      </c>
      <c r="E18" s="17" t="n"/>
    </row>
    <row r="20" ht="22" customHeight="1">
      <c r="A20" s="7" t="inlineStr">
        <is>
          <t>USES — TRANCHE 2 (Phase 2 retail launch)</t>
        </is>
      </c>
      <c r="B20" s="8" t="n"/>
      <c r="C20" s="8" t="n"/>
      <c r="D20" s="8" t="n"/>
      <c r="E20" s="8" t="n"/>
    </row>
    <row r="21">
      <c r="A21" s="9" t="inlineStr">
        <is>
          <t>Retail buildout delta (signage, finish, partitions)</t>
        </is>
      </c>
      <c r="B21" s="12" t="n">
        <v>0</v>
      </c>
      <c r="C21" s="12" t="n">
        <v>130000</v>
      </c>
      <c r="D21" s="16">
        <f>B21+C21</f>
        <v/>
      </c>
      <c r="E21" s="11" t="inlineStr">
        <is>
          <t>Existing equipment offsets vanilla-shell build</t>
        </is>
      </c>
    </row>
    <row r="22">
      <c r="A22" s="9" t="inlineStr">
        <is>
          <t>Equipment delta (only items not on-site)</t>
        </is>
      </c>
      <c r="B22" s="12" t="n">
        <v>0</v>
      </c>
      <c r="C22" s="12" t="n">
        <v>50000</v>
      </c>
      <c r="D22" s="16">
        <f>B22+C22</f>
        <v/>
      </c>
      <c r="E22" s="11" t="inlineStr">
        <is>
          <t>Subject to equipment audit</t>
        </is>
      </c>
    </row>
    <row r="23">
      <c r="A23" s="9" t="inlineStr">
        <is>
          <t>Inventory expansion (full retail assortment)</t>
        </is>
      </c>
      <c r="B23" s="12" t="n">
        <v>0</v>
      </c>
      <c r="C23" s="12" t="n">
        <v>100000</v>
      </c>
      <c r="D23" s="16">
        <f>B23+C23</f>
        <v/>
      </c>
      <c r="E23" s="11" t="inlineStr">
        <is>
          <t>Day-1 shelf fill</t>
        </is>
      </c>
    </row>
    <row r="24">
      <c r="A24" s="9" t="inlineStr">
        <is>
          <t>Phase 2 staffing scale-up (months 7-12 net of grant)</t>
        </is>
      </c>
      <c r="B24" s="12" t="n">
        <v>0</v>
      </c>
      <c r="C24" s="12" t="n">
        <v>100000</v>
      </c>
      <c r="D24" s="16">
        <f>B24+C24</f>
        <v/>
      </c>
      <c r="E24" s="11" t="inlineStr">
        <is>
          <t>Retail launch labor</t>
        </is>
      </c>
    </row>
    <row r="25">
      <c r="A25" s="9" t="inlineStr">
        <is>
          <t>Operating reserve (6-9 months Phase 2 opex)</t>
        </is>
      </c>
      <c r="B25" s="12" t="n">
        <v>0</v>
      </c>
      <c r="C25" s="12" t="n">
        <v>100000</v>
      </c>
      <c r="D25" s="16">
        <f>B25+C25</f>
        <v/>
      </c>
      <c r="E25" s="11" t="inlineStr">
        <is>
          <t>Critical line; absent in prior model versions</t>
        </is>
      </c>
    </row>
    <row r="26">
      <c r="A26" s="9" t="inlineStr">
        <is>
          <t>Phase 2 contingency (4%)</t>
        </is>
      </c>
      <c r="B26" s="12" t="n">
        <v>0</v>
      </c>
      <c r="C26" s="12" t="n">
        <v>20000</v>
      </c>
      <c r="D26" s="16">
        <f>B26+C26</f>
        <v/>
      </c>
    </row>
    <row r="27">
      <c r="A27" s="17" t="inlineStr">
        <is>
          <t xml:space="preserve">    Total Tranche 2 uses</t>
        </is>
      </c>
      <c r="B27" s="18">
        <f>0</f>
        <v/>
      </c>
      <c r="C27" s="18">
        <f>SUM(C21:C26)</f>
        <v/>
      </c>
      <c r="D27" s="18">
        <f>B27+C27</f>
        <v/>
      </c>
      <c r="E27" s="17" t="n"/>
    </row>
    <row r="29">
      <c r="A29" s="17" t="inlineStr">
        <is>
          <t>Total uses</t>
        </is>
      </c>
      <c r="B29" s="18">
        <f>B18+B27</f>
        <v/>
      </c>
      <c r="C29" s="18">
        <f>C18+C27</f>
        <v/>
      </c>
      <c r="D29" s="18">
        <f>B29+C29</f>
        <v/>
      </c>
      <c r="E29" s="17" t="n"/>
    </row>
    <row r="31">
      <c r="A31" s="19" t="inlineStr">
        <is>
          <t>Sources less uses (must be zero)</t>
        </is>
      </c>
      <c r="D31" s="20">
        <f>D7-D29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A02E"/>
    <outlinePr summaryBelow="1" summaryRight="1"/>
    <pageSetUpPr/>
  </sheetPr>
  <dimension ref="A1:N1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0" customHeight="1">
      <c r="A1" s="6" t="inlineStr">
        <is>
          <t>Phase 1 — Produce Box Business</t>
        </is>
      </c>
      <c r="B1" s="6" t="inlineStr">
        <is>
          <t>M1</t>
        </is>
      </c>
      <c r="C1" s="6" t="inlineStr">
        <is>
          <t>M2</t>
        </is>
      </c>
      <c r="D1" s="6" t="inlineStr">
        <is>
          <t>M3</t>
        </is>
      </c>
      <c r="E1" s="6" t="inlineStr">
        <is>
          <t>M4</t>
        </is>
      </c>
      <c r="F1" s="6" t="inlineStr">
        <is>
          <t>M5</t>
        </is>
      </c>
      <c r="G1" s="6" t="inlineStr">
        <is>
          <t>M6</t>
        </is>
      </c>
      <c r="H1" s="6" t="inlineStr">
        <is>
          <t>M7</t>
        </is>
      </c>
      <c r="I1" s="6" t="inlineStr">
        <is>
          <t>M8</t>
        </is>
      </c>
      <c r="J1" s="6" t="inlineStr">
        <is>
          <t>M9</t>
        </is>
      </c>
      <c r="K1" s="6" t="inlineStr">
        <is>
          <t>M10</t>
        </is>
      </c>
      <c r="L1" s="6" t="inlineStr">
        <is>
          <t>M11</t>
        </is>
      </c>
      <c r="M1" s="6" t="inlineStr">
        <is>
          <t>M12</t>
        </is>
      </c>
      <c r="N1" s="6" t="inlineStr">
        <is>
          <t>Year 1 Total</t>
        </is>
      </c>
    </row>
    <row r="2">
      <c r="A2" s="9" t="inlineStr">
        <is>
          <t>New subscribers (gross adds)</t>
        </is>
      </c>
      <c r="B2" s="21">
        <f>Inputs!$B$15</f>
        <v/>
      </c>
      <c r="C2" s="21">
        <f>Inputs!$B$16</f>
        <v/>
      </c>
      <c r="D2" s="21">
        <f>Inputs!$B$17</f>
        <v/>
      </c>
      <c r="E2" s="21">
        <f>Inputs!$B$18</f>
        <v/>
      </c>
      <c r="F2" s="21">
        <f>Inputs!$B$19</f>
        <v/>
      </c>
      <c r="G2" s="21">
        <f>Inputs!$B$20</f>
        <v/>
      </c>
      <c r="H2" s="21">
        <f>Inputs!$B$21</f>
        <v/>
      </c>
      <c r="I2" s="21">
        <f>Inputs!$B$22</f>
        <v/>
      </c>
      <c r="J2" s="21">
        <f>Inputs!$B$23</f>
        <v/>
      </c>
      <c r="K2" s="21">
        <f>Inputs!$B$24</f>
        <v/>
      </c>
      <c r="L2" s="21">
        <f>Inputs!$B$25</f>
        <v/>
      </c>
      <c r="M2" s="21">
        <f>Inputs!$B$26</f>
        <v/>
      </c>
      <c r="N2" s="21">
        <f>SUM(B2:M2)</f>
        <v/>
      </c>
    </row>
    <row r="3">
      <c r="A3" s="9" t="inlineStr">
        <is>
          <t>Subscribers churned</t>
        </is>
      </c>
      <c r="B3" s="21">
        <f>0</f>
        <v/>
      </c>
      <c r="C3" s="21">
        <f>ROUND(B4*Inputs!$B$14,0)</f>
        <v/>
      </c>
      <c r="D3" s="21">
        <f>ROUND(C4*Inputs!$B$14,0)</f>
        <v/>
      </c>
      <c r="E3" s="21">
        <f>ROUND(D4*Inputs!$B$14,0)</f>
        <v/>
      </c>
      <c r="F3" s="21">
        <f>ROUND(E4*Inputs!$B$14,0)</f>
        <v/>
      </c>
      <c r="G3" s="21">
        <f>ROUND(F4*Inputs!$B$14,0)</f>
        <v/>
      </c>
      <c r="H3" s="21">
        <f>ROUND(G4*Inputs!$B$14,0)</f>
        <v/>
      </c>
      <c r="I3" s="21">
        <f>ROUND(H4*Inputs!$B$14,0)</f>
        <v/>
      </c>
      <c r="J3" s="21">
        <f>ROUND(I4*Inputs!$B$14,0)</f>
        <v/>
      </c>
      <c r="K3" s="21">
        <f>ROUND(J4*Inputs!$B$14,0)</f>
        <v/>
      </c>
      <c r="L3" s="21">
        <f>ROUND(K4*Inputs!$B$14,0)</f>
        <v/>
      </c>
      <c r="M3" s="21">
        <f>ROUND(L4*Inputs!$B$14,0)</f>
        <v/>
      </c>
      <c r="N3" s="21">
        <f>SUM(B3:M3)</f>
        <v/>
      </c>
    </row>
    <row r="4">
      <c r="A4" s="22" t="inlineStr">
        <is>
          <t>Active subscribers (end of month)</t>
        </is>
      </c>
      <c r="B4" s="23">
        <f>B2-B3</f>
        <v/>
      </c>
      <c r="C4" s="23">
        <f>B4+C2-C3</f>
        <v/>
      </c>
      <c r="D4" s="23">
        <f>C4+D2-D3</f>
        <v/>
      </c>
      <c r="E4" s="23">
        <f>D4+E2-E3</f>
        <v/>
      </c>
      <c r="F4" s="23">
        <f>E4+F2-F3</f>
        <v/>
      </c>
      <c r="G4" s="23">
        <f>F4+G2-G3</f>
        <v/>
      </c>
      <c r="H4" s="23">
        <f>G4+H2-H3</f>
        <v/>
      </c>
      <c r="I4" s="23">
        <f>H4+I2-I3</f>
        <v/>
      </c>
      <c r="J4" s="23">
        <f>I4+J2-J3</f>
        <v/>
      </c>
      <c r="K4" s="23">
        <f>J4+K2-K3</f>
        <v/>
      </c>
      <c r="L4" s="23">
        <f>K4+L2-L3</f>
        <v/>
      </c>
      <c r="M4" s="23">
        <f>L4+M2-M3</f>
        <v/>
      </c>
      <c r="N4" s="23">
        <f>M4</f>
        <v/>
      </c>
    </row>
    <row r="5">
      <c r="A5" s="9" t="inlineStr">
        <is>
          <t xml:space="preserve">  Avg active subscribers (this month)</t>
        </is>
      </c>
      <c r="B5" s="21">
        <f>B4/2</f>
        <v/>
      </c>
      <c r="C5" s="21">
        <f>(B4+C4)/2</f>
        <v/>
      </c>
      <c r="D5" s="21">
        <f>(C4+D4)/2</f>
        <v/>
      </c>
      <c r="E5" s="21">
        <f>(D4+E4)/2</f>
        <v/>
      </c>
      <c r="F5" s="21">
        <f>(E4+F4)/2</f>
        <v/>
      </c>
      <c r="G5" s="21">
        <f>(F4+G4)/2</f>
        <v/>
      </c>
      <c r="H5" s="21">
        <f>(G4+H4)/2</f>
        <v/>
      </c>
      <c r="I5" s="21">
        <f>(H4+I4)/2</f>
        <v/>
      </c>
      <c r="J5" s="21">
        <f>(I4+J4)/2</f>
        <v/>
      </c>
      <c r="K5" s="21">
        <f>(J4+K4)/2</f>
        <v/>
      </c>
      <c r="L5" s="21">
        <f>(K4+L4)/2</f>
        <v/>
      </c>
      <c r="M5" s="21">
        <f>(L4+M4)/2</f>
        <v/>
      </c>
    </row>
    <row r="6">
      <c r="A6" s="9" t="inlineStr">
        <is>
          <t>Boxes shipped (subscriber + one-time)</t>
        </is>
      </c>
      <c r="B6" s="21">
        <f>ROUND(B5*Inputs!$B$11*(1+Inputs!$B$13),0)</f>
        <v/>
      </c>
      <c r="C6" s="21">
        <f>ROUND(C5*Inputs!$B$11*(1+Inputs!$B$13),0)</f>
        <v/>
      </c>
      <c r="D6" s="21">
        <f>ROUND(D5*Inputs!$B$11*(1+Inputs!$B$13),0)</f>
        <v/>
      </c>
      <c r="E6" s="21">
        <f>ROUND(E5*Inputs!$B$11*(1+Inputs!$B$13),0)</f>
        <v/>
      </c>
      <c r="F6" s="21">
        <f>ROUND(F5*Inputs!$B$11*(1+Inputs!$B$13),0)</f>
        <v/>
      </c>
      <c r="G6" s="21">
        <f>ROUND(G5*Inputs!$B$11*(1+Inputs!$B$13),0)</f>
        <v/>
      </c>
      <c r="H6" s="21">
        <f>ROUND(H5*Inputs!$B$11*(1+Inputs!$B$13),0)</f>
        <v/>
      </c>
      <c r="I6" s="21">
        <f>ROUND(I5*Inputs!$B$11*(1+Inputs!$B$13),0)</f>
        <v/>
      </c>
      <c r="J6" s="21">
        <f>ROUND(J5*Inputs!$B$11*(1+Inputs!$B$13),0)</f>
        <v/>
      </c>
      <c r="K6" s="21">
        <f>ROUND(K5*Inputs!$B$11*(1+Inputs!$B$13),0)</f>
        <v/>
      </c>
      <c r="L6" s="21">
        <f>ROUND(L5*Inputs!$B$11*(1+Inputs!$B$13),0)</f>
        <v/>
      </c>
      <c r="M6" s="21">
        <f>ROUND(M5*Inputs!$B$11*(1+Inputs!$B$13),0)</f>
        <v/>
      </c>
      <c r="N6" s="21">
        <f>SUM(B6:M6)</f>
        <v/>
      </c>
    </row>
    <row r="7">
      <c r="A7" s="9" t="inlineStr">
        <is>
          <t>Subscription revenue</t>
        </is>
      </c>
      <c r="B7" s="16">
        <f>B5*Inputs!$B$11*Inputs!$B$9</f>
        <v/>
      </c>
      <c r="C7" s="16">
        <f>C5*Inputs!$B$11*Inputs!$B$9</f>
        <v/>
      </c>
      <c r="D7" s="16">
        <f>D5*Inputs!$B$11*Inputs!$B$9</f>
        <v/>
      </c>
      <c r="E7" s="16">
        <f>E5*Inputs!$B$11*Inputs!$B$9</f>
        <v/>
      </c>
      <c r="F7" s="16">
        <f>F5*Inputs!$B$11*Inputs!$B$9</f>
        <v/>
      </c>
      <c r="G7" s="16">
        <f>G5*Inputs!$B$11*Inputs!$B$9</f>
        <v/>
      </c>
      <c r="H7" s="16">
        <f>H5*Inputs!$B$11*Inputs!$B$9</f>
        <v/>
      </c>
      <c r="I7" s="16">
        <f>I5*Inputs!$B$11*Inputs!$B$9</f>
        <v/>
      </c>
      <c r="J7" s="16">
        <f>J5*Inputs!$B$11*Inputs!$B$9</f>
        <v/>
      </c>
      <c r="K7" s="16">
        <f>K5*Inputs!$B$11*Inputs!$B$9</f>
        <v/>
      </c>
      <c r="L7" s="16">
        <f>L5*Inputs!$B$11*Inputs!$B$9</f>
        <v/>
      </c>
      <c r="M7" s="16">
        <f>M5*Inputs!$B$11*Inputs!$B$9</f>
        <v/>
      </c>
      <c r="N7" s="16">
        <f>SUM(B7:M7)</f>
        <v/>
      </c>
    </row>
    <row r="8">
      <c r="A8" s="9" t="inlineStr">
        <is>
          <t>One-time order revenue</t>
        </is>
      </c>
      <c r="B8" s="16">
        <f>B7*Inputs!$B$13</f>
        <v/>
      </c>
      <c r="C8" s="16">
        <f>C7*Inputs!$B$13</f>
        <v/>
      </c>
      <c r="D8" s="16">
        <f>D7*Inputs!$B$13</f>
        <v/>
      </c>
      <c r="E8" s="16">
        <f>E7*Inputs!$B$13</f>
        <v/>
      </c>
      <c r="F8" s="16">
        <f>F7*Inputs!$B$13</f>
        <v/>
      </c>
      <c r="G8" s="16">
        <f>G7*Inputs!$B$13</f>
        <v/>
      </c>
      <c r="H8" s="16">
        <f>H7*Inputs!$B$13</f>
        <v/>
      </c>
      <c r="I8" s="16">
        <f>I7*Inputs!$B$13</f>
        <v/>
      </c>
      <c r="J8" s="16">
        <f>J7*Inputs!$B$13</f>
        <v/>
      </c>
      <c r="K8" s="16">
        <f>K7*Inputs!$B$13</f>
        <v/>
      </c>
      <c r="L8" s="16">
        <f>L7*Inputs!$B$13</f>
        <v/>
      </c>
      <c r="M8" s="16">
        <f>M7*Inputs!$B$13</f>
        <v/>
      </c>
      <c r="N8" s="16">
        <f>SUM(B8:M8)</f>
        <v/>
      </c>
    </row>
    <row r="9">
      <c r="A9" s="22" t="inlineStr">
        <is>
          <t>Total Phase 1 revenue</t>
        </is>
      </c>
      <c r="B9" s="18">
        <f>B7+B8</f>
        <v/>
      </c>
      <c r="C9" s="18">
        <f>C7+C8</f>
        <v/>
      </c>
      <c r="D9" s="18">
        <f>D7+D8</f>
        <v/>
      </c>
      <c r="E9" s="18">
        <f>E7+E8</f>
        <v/>
      </c>
      <c r="F9" s="18">
        <f>F7+F8</f>
        <v/>
      </c>
      <c r="G9" s="18">
        <f>G7+G8</f>
        <v/>
      </c>
      <c r="H9" s="18">
        <f>H7+H8</f>
        <v/>
      </c>
      <c r="I9" s="18">
        <f>I7+I8</f>
        <v/>
      </c>
      <c r="J9" s="18">
        <f>J7+J8</f>
        <v/>
      </c>
      <c r="K9" s="18">
        <f>K7+K8</f>
        <v/>
      </c>
      <c r="L9" s="18">
        <f>L7+L8</f>
        <v/>
      </c>
      <c r="M9" s="18">
        <f>M7+M8</f>
        <v/>
      </c>
      <c r="N9" s="18">
        <f>SUM(B9:M9)</f>
        <v/>
      </c>
    </row>
    <row r="10">
      <c r="A10" s="9" t="inlineStr">
        <is>
          <t>COGS (75% of revenue)</t>
        </is>
      </c>
      <c r="B10" s="16">
        <f>B9*(1-Inputs!$B$10)</f>
        <v/>
      </c>
      <c r="C10" s="16">
        <f>C9*(1-Inputs!$B$10)</f>
        <v/>
      </c>
      <c r="D10" s="16">
        <f>D9*(1-Inputs!$B$10)</f>
        <v/>
      </c>
      <c r="E10" s="16">
        <f>E9*(1-Inputs!$B$10)</f>
        <v/>
      </c>
      <c r="F10" s="16">
        <f>F9*(1-Inputs!$B$10)</f>
        <v/>
      </c>
      <c r="G10" s="16">
        <f>G9*(1-Inputs!$B$10)</f>
        <v/>
      </c>
      <c r="H10" s="16">
        <f>H9*(1-Inputs!$B$10)</f>
        <v/>
      </c>
      <c r="I10" s="16">
        <f>I9*(1-Inputs!$B$10)</f>
        <v/>
      </c>
      <c r="J10" s="16">
        <f>J9*(1-Inputs!$B$10)</f>
        <v/>
      </c>
      <c r="K10" s="16">
        <f>K9*(1-Inputs!$B$10)</f>
        <v/>
      </c>
      <c r="L10" s="16">
        <f>L9*(1-Inputs!$B$10)</f>
        <v/>
      </c>
      <c r="M10" s="16">
        <f>M9*(1-Inputs!$B$10)</f>
        <v/>
      </c>
      <c r="N10" s="16">
        <f>SUM(B10:M10)</f>
        <v/>
      </c>
    </row>
    <row r="11">
      <c r="A11" s="22" t="inlineStr">
        <is>
          <t>Gross profit</t>
        </is>
      </c>
      <c r="B11" s="18">
        <f>B9-B10</f>
        <v/>
      </c>
      <c r="C11" s="18">
        <f>C9-C10</f>
        <v/>
      </c>
      <c r="D11" s="18">
        <f>D9-D10</f>
        <v/>
      </c>
      <c r="E11" s="18">
        <f>E9-E10</f>
        <v/>
      </c>
      <c r="F11" s="18">
        <f>F9-F10</f>
        <v/>
      </c>
      <c r="G11" s="18">
        <f>G9-G10</f>
        <v/>
      </c>
      <c r="H11" s="18">
        <f>H9-H10</f>
        <v/>
      </c>
      <c r="I11" s="18">
        <f>I9-I10</f>
        <v/>
      </c>
      <c r="J11" s="18">
        <f>J9-J10</f>
        <v/>
      </c>
      <c r="K11" s="18">
        <f>K9-K10</f>
        <v/>
      </c>
      <c r="L11" s="18">
        <f>L9-L10</f>
        <v/>
      </c>
      <c r="M11" s="18">
        <f>M9-M10</f>
        <v/>
      </c>
      <c r="N11" s="18">
        <f>SUM(B11:M11)</f>
        <v/>
      </c>
    </row>
    <row r="12">
      <c r="A12" s="9" t="inlineStr">
        <is>
          <t>Delivery cost (driver, fuel, packaging)</t>
        </is>
      </c>
      <c r="B12" s="16">
        <f>B6*Inputs!$B$12</f>
        <v/>
      </c>
      <c r="C12" s="16">
        <f>C6*Inputs!$B$12</f>
        <v/>
      </c>
      <c r="D12" s="16">
        <f>D6*Inputs!$B$12</f>
        <v/>
      </c>
      <c r="E12" s="16">
        <f>E6*Inputs!$B$12</f>
        <v/>
      </c>
      <c r="F12" s="16">
        <f>F6*Inputs!$B$12</f>
        <v/>
      </c>
      <c r="G12" s="16">
        <f>G6*Inputs!$B$12</f>
        <v/>
      </c>
      <c r="H12" s="16">
        <f>H6*Inputs!$B$12</f>
        <v/>
      </c>
      <c r="I12" s="16">
        <f>I6*Inputs!$B$12</f>
        <v/>
      </c>
      <c r="J12" s="16">
        <f>J6*Inputs!$B$12</f>
        <v/>
      </c>
      <c r="K12" s="16">
        <f>K6*Inputs!$B$12</f>
        <v/>
      </c>
      <c r="L12" s="16">
        <f>L6*Inputs!$B$12</f>
        <v/>
      </c>
      <c r="M12" s="16">
        <f>M6*Inputs!$B$12</f>
        <v/>
      </c>
      <c r="N12" s="16">
        <f>SUM(B12:M12)</f>
        <v/>
      </c>
    </row>
    <row r="13">
      <c r="A13" s="22" t="inlineStr">
        <is>
          <t>Contribution margin (Phase 1)</t>
        </is>
      </c>
      <c r="B13" s="18">
        <f>B11-B12</f>
        <v/>
      </c>
      <c r="C13" s="18">
        <f>C11-C12</f>
        <v/>
      </c>
      <c r="D13" s="18">
        <f>D11-D12</f>
        <v/>
      </c>
      <c r="E13" s="18">
        <f>E11-E12</f>
        <v/>
      </c>
      <c r="F13" s="18">
        <f>F11-F12</f>
        <v/>
      </c>
      <c r="G13" s="18">
        <f>G11-G12</f>
        <v/>
      </c>
      <c r="H13" s="18">
        <f>H11-H12</f>
        <v/>
      </c>
      <c r="I13" s="18">
        <f>I11-I12</f>
        <v/>
      </c>
      <c r="J13" s="18">
        <f>J11-J12</f>
        <v/>
      </c>
      <c r="K13" s="18">
        <f>K11-K12</f>
        <v/>
      </c>
      <c r="L13" s="18">
        <f>L11-L12</f>
        <v/>
      </c>
      <c r="M13" s="18">
        <f>M11-M12</f>
        <v/>
      </c>
      <c r="N13" s="18">
        <f>SUM(B13:M13)</f>
        <v/>
      </c>
    </row>
    <row r="15" ht="22" customHeight="1">
      <c r="A15" s="7" t="inlineStr">
        <is>
          <t>Tranche 2 release gate check (end of Month 3)</t>
        </is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</row>
    <row r="16">
      <c r="A16" s="9" t="inlineStr">
        <is>
          <t>Active subscribers at M3 (target: 100+)</t>
        </is>
      </c>
      <c r="B16" s="24">
        <f>D4</f>
        <v/>
      </c>
    </row>
    <row r="17">
      <c r="A17" s="9" t="inlineStr">
        <is>
          <t>M3 monthly revenue (target: $15K-$25K)</t>
        </is>
      </c>
      <c r="B17" s="20">
        <f>D9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9A02E"/>
    <outlinePr summaryBelow="1" summaryRight="1"/>
    <pageSetUpPr/>
  </sheetPr>
  <dimension ref="A1:N2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0" customHeight="1">
      <c r="A1" s="6" t="inlineStr">
        <is>
          <t>Phase 2 — Retail Floor</t>
        </is>
      </c>
      <c r="B1" s="6" t="inlineStr">
        <is>
          <t>M1</t>
        </is>
      </c>
      <c r="C1" s="6" t="inlineStr">
        <is>
          <t>M2</t>
        </is>
      </c>
      <c r="D1" s="6" t="inlineStr">
        <is>
          <t>M3</t>
        </is>
      </c>
      <c r="E1" s="6" t="inlineStr">
        <is>
          <t>M4</t>
        </is>
      </c>
      <c r="F1" s="6" t="inlineStr">
        <is>
          <t>M5</t>
        </is>
      </c>
      <c r="G1" s="6" t="inlineStr">
        <is>
          <t>M6</t>
        </is>
      </c>
      <c r="H1" s="6" t="inlineStr">
        <is>
          <t>M7</t>
        </is>
      </c>
      <c r="I1" s="6" t="inlineStr">
        <is>
          <t>M8</t>
        </is>
      </c>
      <c r="J1" s="6" t="inlineStr">
        <is>
          <t>M9</t>
        </is>
      </c>
      <c r="K1" s="6" t="inlineStr">
        <is>
          <t>M10</t>
        </is>
      </c>
      <c r="L1" s="6" t="inlineStr">
        <is>
          <t>M11</t>
        </is>
      </c>
      <c r="M1" s="6" t="inlineStr">
        <is>
          <t>M12</t>
        </is>
      </c>
      <c r="N1" s="6" t="inlineStr">
        <is>
          <t>Year 1 Total</t>
        </is>
      </c>
    </row>
    <row r="2">
      <c r="A2" s="22" t="inlineStr">
        <is>
          <t>Total retail revenue</t>
        </is>
      </c>
      <c r="B2" s="18">
        <f>0</f>
        <v/>
      </c>
      <c r="C2" s="18">
        <f>0</f>
        <v/>
      </c>
      <c r="D2" s="18">
        <f>0</f>
        <v/>
      </c>
      <c r="E2" s="18">
        <f>0</f>
        <v/>
      </c>
      <c r="F2" s="18">
        <f>0</f>
        <v/>
      </c>
      <c r="G2" s="18">
        <f>0</f>
        <v/>
      </c>
      <c r="H2" s="18">
        <f>Inputs!$B$28</f>
        <v/>
      </c>
      <c r="I2" s="18">
        <f>Inputs!$B$29</f>
        <v/>
      </c>
      <c r="J2" s="18">
        <f>Inputs!$B$30</f>
        <v/>
      </c>
      <c r="K2" s="18">
        <f>Inputs!$B$31</f>
        <v/>
      </c>
      <c r="L2" s="18">
        <f>Inputs!$B$32</f>
        <v/>
      </c>
      <c r="M2" s="18">
        <f>Inputs!$B$33</f>
        <v/>
      </c>
      <c r="N2" s="18">
        <f>SUM(B2:M2)</f>
        <v/>
      </c>
    </row>
    <row r="4" ht="22" customHeight="1">
      <c r="A4" s="7" t="inlineStr">
        <is>
          <t>Revenue by department (= mix % * total revenue)</t>
        </is>
      </c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</row>
    <row r="5">
      <c r="A5" s="9" t="inlineStr">
        <is>
          <t xml:space="preserve">  Dry grocery (Dry grocery mix)</t>
        </is>
      </c>
      <c r="B5" s="16">
        <f>B2*Inputs!$B$34</f>
        <v/>
      </c>
      <c r="C5" s="16">
        <f>C2*Inputs!$B$34</f>
        <v/>
      </c>
      <c r="D5" s="16">
        <f>D2*Inputs!$B$34</f>
        <v/>
      </c>
      <c r="E5" s="16">
        <f>E2*Inputs!$B$34</f>
        <v/>
      </c>
      <c r="F5" s="16">
        <f>F2*Inputs!$B$34</f>
        <v/>
      </c>
      <c r="G5" s="16">
        <f>G2*Inputs!$B$34</f>
        <v/>
      </c>
      <c r="H5" s="16">
        <f>H2*Inputs!$B$34</f>
        <v/>
      </c>
      <c r="I5" s="16">
        <f>I2*Inputs!$B$34</f>
        <v/>
      </c>
      <c r="J5" s="16">
        <f>J2*Inputs!$B$34</f>
        <v/>
      </c>
      <c r="K5" s="16">
        <f>K2*Inputs!$B$34</f>
        <v/>
      </c>
      <c r="L5" s="16">
        <f>L2*Inputs!$B$34</f>
        <v/>
      </c>
      <c r="M5" s="16">
        <f>M2*Inputs!$B$34</f>
        <v/>
      </c>
    </row>
    <row r="6">
      <c r="A6" s="9" t="inlineStr">
        <is>
          <t xml:space="preserve">  Produce (Produce mix)</t>
        </is>
      </c>
      <c r="B6" s="16">
        <f>B2*Inputs!$B$36</f>
        <v/>
      </c>
      <c r="C6" s="16">
        <f>C2*Inputs!$B$36</f>
        <v/>
      </c>
      <c r="D6" s="16">
        <f>D2*Inputs!$B$36</f>
        <v/>
      </c>
      <c r="E6" s="16">
        <f>E2*Inputs!$B$36</f>
        <v/>
      </c>
      <c r="F6" s="16">
        <f>F2*Inputs!$B$36</f>
        <v/>
      </c>
      <c r="G6" s="16">
        <f>G2*Inputs!$B$36</f>
        <v/>
      </c>
      <c r="H6" s="16">
        <f>H2*Inputs!$B$36</f>
        <v/>
      </c>
      <c r="I6" s="16">
        <f>I2*Inputs!$B$36</f>
        <v/>
      </c>
      <c r="J6" s="16">
        <f>J2*Inputs!$B$36</f>
        <v/>
      </c>
      <c r="K6" s="16">
        <f>K2*Inputs!$B$36</f>
        <v/>
      </c>
      <c r="L6" s="16">
        <f>L2*Inputs!$B$36</f>
        <v/>
      </c>
      <c r="M6" s="16">
        <f>M2*Inputs!$B$36</f>
        <v/>
      </c>
    </row>
    <row r="7">
      <c r="A7" s="9" t="inlineStr">
        <is>
          <t xml:space="preserve">  Dairy (Dairy mix)</t>
        </is>
      </c>
      <c r="B7" s="16">
        <f>B2*Inputs!$B$38</f>
        <v/>
      </c>
      <c r="C7" s="16">
        <f>C2*Inputs!$B$38</f>
        <v/>
      </c>
      <c r="D7" s="16">
        <f>D2*Inputs!$B$38</f>
        <v/>
      </c>
      <c r="E7" s="16">
        <f>E2*Inputs!$B$38</f>
        <v/>
      </c>
      <c r="F7" s="16">
        <f>F2*Inputs!$B$38</f>
        <v/>
      </c>
      <c r="G7" s="16">
        <f>G2*Inputs!$B$38</f>
        <v/>
      </c>
      <c r="H7" s="16">
        <f>H2*Inputs!$B$38</f>
        <v/>
      </c>
      <c r="I7" s="16">
        <f>I2*Inputs!$B$38</f>
        <v/>
      </c>
      <c r="J7" s="16">
        <f>J2*Inputs!$B$38</f>
        <v/>
      </c>
      <c r="K7" s="16">
        <f>K2*Inputs!$B$38</f>
        <v/>
      </c>
      <c r="L7" s="16">
        <f>L2*Inputs!$B$38</f>
        <v/>
      </c>
      <c r="M7" s="16">
        <f>M2*Inputs!$B$38</f>
        <v/>
      </c>
    </row>
    <row r="8">
      <c r="A8" s="9" t="inlineStr">
        <is>
          <t xml:space="preserve">  Meat (Meat mix)</t>
        </is>
      </c>
      <c r="B8" s="16">
        <f>B2*Inputs!$B$40</f>
        <v/>
      </c>
      <c r="C8" s="16">
        <f>C2*Inputs!$B$40</f>
        <v/>
      </c>
      <c r="D8" s="16">
        <f>D2*Inputs!$B$40</f>
        <v/>
      </c>
      <c r="E8" s="16">
        <f>E2*Inputs!$B$40</f>
        <v/>
      </c>
      <c r="F8" s="16">
        <f>F2*Inputs!$B$40</f>
        <v/>
      </c>
      <c r="G8" s="16">
        <f>G2*Inputs!$B$40</f>
        <v/>
      </c>
      <c r="H8" s="16">
        <f>H2*Inputs!$B$40</f>
        <v/>
      </c>
      <c r="I8" s="16">
        <f>I2*Inputs!$B$40</f>
        <v/>
      </c>
      <c r="J8" s="16">
        <f>J2*Inputs!$B$40</f>
        <v/>
      </c>
      <c r="K8" s="16">
        <f>K2*Inputs!$B$40</f>
        <v/>
      </c>
      <c r="L8" s="16">
        <f>L2*Inputs!$B$40</f>
        <v/>
      </c>
      <c r="M8" s="16">
        <f>M2*Inputs!$B$40</f>
        <v/>
      </c>
    </row>
    <row r="9">
      <c r="A9" s="9" t="inlineStr">
        <is>
          <t xml:space="preserve">  Frozen (Frozen mix)</t>
        </is>
      </c>
      <c r="B9" s="16">
        <f>B2*Inputs!$B$42</f>
        <v/>
      </c>
      <c r="C9" s="16">
        <f>C2*Inputs!$B$42</f>
        <v/>
      </c>
      <c r="D9" s="16">
        <f>D2*Inputs!$B$42</f>
        <v/>
      </c>
      <c r="E9" s="16">
        <f>E2*Inputs!$B$42</f>
        <v/>
      </c>
      <c r="F9" s="16">
        <f>F2*Inputs!$B$42</f>
        <v/>
      </c>
      <c r="G9" s="16">
        <f>G2*Inputs!$B$42</f>
        <v/>
      </c>
      <c r="H9" s="16">
        <f>H2*Inputs!$B$42</f>
        <v/>
      </c>
      <c r="I9" s="16">
        <f>I2*Inputs!$B$42</f>
        <v/>
      </c>
      <c r="J9" s="16">
        <f>J2*Inputs!$B$42</f>
        <v/>
      </c>
      <c r="K9" s="16">
        <f>K2*Inputs!$B$42</f>
        <v/>
      </c>
      <c r="L9" s="16">
        <f>L2*Inputs!$B$42</f>
        <v/>
      </c>
      <c r="M9" s="16">
        <f>M2*Inputs!$B$42</f>
        <v/>
      </c>
    </row>
    <row r="10">
      <c r="A10" s="9" t="inlineStr">
        <is>
          <t xml:space="preserve">  Prepared / hot foods (Prepared / hot foods mix)</t>
        </is>
      </c>
      <c r="B10" s="16">
        <f>B2*Inputs!$B$44</f>
        <v/>
      </c>
      <c r="C10" s="16">
        <f>C2*Inputs!$B$44</f>
        <v/>
      </c>
      <c r="D10" s="16">
        <f>D2*Inputs!$B$44</f>
        <v/>
      </c>
      <c r="E10" s="16">
        <f>E2*Inputs!$B$44</f>
        <v/>
      </c>
      <c r="F10" s="16">
        <f>F2*Inputs!$B$44</f>
        <v/>
      </c>
      <c r="G10" s="16">
        <f>G2*Inputs!$B$44</f>
        <v/>
      </c>
      <c r="H10" s="16">
        <f>H2*Inputs!$B$44</f>
        <v/>
      </c>
      <c r="I10" s="16">
        <f>I2*Inputs!$B$44</f>
        <v/>
      </c>
      <c r="J10" s="16">
        <f>J2*Inputs!$B$44</f>
        <v/>
      </c>
      <c r="K10" s="16">
        <f>K2*Inputs!$B$44</f>
        <v/>
      </c>
      <c r="L10" s="16">
        <f>L2*Inputs!$B$44</f>
        <v/>
      </c>
      <c r="M10" s="16">
        <f>M2*Inputs!$B$44</f>
        <v/>
      </c>
    </row>
    <row r="11">
      <c r="A11" s="9" t="inlineStr">
        <is>
          <t xml:space="preserve">  Deli / bakery (Deli / bakery mix)</t>
        </is>
      </c>
      <c r="B11" s="16">
        <f>B2*Inputs!$B$46</f>
        <v/>
      </c>
      <c r="C11" s="16">
        <f>C2*Inputs!$B$46</f>
        <v/>
      </c>
      <c r="D11" s="16">
        <f>D2*Inputs!$B$46</f>
        <v/>
      </c>
      <c r="E11" s="16">
        <f>E2*Inputs!$B$46</f>
        <v/>
      </c>
      <c r="F11" s="16">
        <f>F2*Inputs!$B$46</f>
        <v/>
      </c>
      <c r="G11" s="16">
        <f>G2*Inputs!$B$46</f>
        <v/>
      </c>
      <c r="H11" s="16">
        <f>H2*Inputs!$B$46</f>
        <v/>
      </c>
      <c r="I11" s="16">
        <f>I2*Inputs!$B$46</f>
        <v/>
      </c>
      <c r="J11" s="16">
        <f>J2*Inputs!$B$46</f>
        <v/>
      </c>
      <c r="K11" s="16">
        <f>K2*Inputs!$B$46</f>
        <v/>
      </c>
      <c r="L11" s="16">
        <f>L2*Inputs!$B$46</f>
        <v/>
      </c>
      <c r="M11" s="16">
        <f>M2*Inputs!$B$46</f>
        <v/>
      </c>
    </row>
    <row r="12">
      <c r="A12" s="9" t="inlineStr">
        <is>
          <t xml:space="preserve">  Private label (Private label mix)</t>
        </is>
      </c>
      <c r="B12" s="16">
        <f>B2*Inputs!$B$48</f>
        <v/>
      </c>
      <c r="C12" s="16">
        <f>C2*Inputs!$B$48</f>
        <v/>
      </c>
      <c r="D12" s="16">
        <f>D2*Inputs!$B$48</f>
        <v/>
      </c>
      <c r="E12" s="16">
        <f>E2*Inputs!$B$48</f>
        <v/>
      </c>
      <c r="F12" s="16">
        <f>F2*Inputs!$B$48</f>
        <v/>
      </c>
      <c r="G12" s="16">
        <f>G2*Inputs!$B$48</f>
        <v/>
      </c>
      <c r="H12" s="16">
        <f>H2*Inputs!$B$48</f>
        <v/>
      </c>
      <c r="I12" s="16">
        <f>I2*Inputs!$B$48</f>
        <v/>
      </c>
      <c r="J12" s="16">
        <f>J2*Inputs!$B$48</f>
        <v/>
      </c>
      <c r="K12" s="16">
        <f>K2*Inputs!$B$48</f>
        <v/>
      </c>
      <c r="L12" s="16">
        <f>L2*Inputs!$B$48</f>
        <v/>
      </c>
      <c r="M12" s="16">
        <f>M2*Inputs!$B$48</f>
        <v/>
      </c>
    </row>
    <row r="13">
      <c r="A13" s="9" t="inlineStr">
        <is>
          <t xml:space="preserve">  Mix check (=100%)</t>
        </is>
      </c>
      <c r="B13" s="25">
        <f>Inputs!$B$34+Inputs!$B$36+Inputs!$B$38+Inputs!$B$40+Inputs!$B$42+Inputs!$B$44+Inputs!$B$46+Inputs!$B$48</f>
        <v/>
      </c>
    </row>
    <row r="15" ht="22" customHeight="1">
      <c r="A15" s="7" t="inlineStr">
        <is>
          <t>COGS by department (= revenue * (1-GM))</t>
        </is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</row>
    <row r="16">
      <c r="A16" s="9" t="inlineStr">
        <is>
          <t xml:space="preserve">  Dry grocery COGS</t>
        </is>
      </c>
      <c r="B16" s="16">
        <f>B5*(1-Inputs!$B$35)</f>
        <v/>
      </c>
      <c r="C16" s="16">
        <f>C5*(1-Inputs!$B$35)</f>
        <v/>
      </c>
      <c r="D16" s="16">
        <f>D5*(1-Inputs!$B$35)</f>
        <v/>
      </c>
      <c r="E16" s="16">
        <f>E5*(1-Inputs!$B$35)</f>
        <v/>
      </c>
      <c r="F16" s="16">
        <f>F5*(1-Inputs!$B$35)</f>
        <v/>
      </c>
      <c r="G16" s="16">
        <f>G5*(1-Inputs!$B$35)</f>
        <v/>
      </c>
      <c r="H16" s="16">
        <f>H5*(1-Inputs!$B$35)</f>
        <v/>
      </c>
      <c r="I16" s="16">
        <f>I5*(1-Inputs!$B$35)</f>
        <v/>
      </c>
      <c r="J16" s="16">
        <f>J5*(1-Inputs!$B$35)</f>
        <v/>
      </c>
      <c r="K16" s="16">
        <f>K5*(1-Inputs!$B$35)</f>
        <v/>
      </c>
      <c r="L16" s="16">
        <f>L5*(1-Inputs!$B$35)</f>
        <v/>
      </c>
      <c r="M16" s="16">
        <f>M5*(1-Inputs!$B$35)</f>
        <v/>
      </c>
    </row>
    <row r="17">
      <c r="A17" s="9" t="inlineStr">
        <is>
          <t xml:space="preserve">  Produce COGS</t>
        </is>
      </c>
      <c r="B17" s="16">
        <f>B6*(1-Inputs!$B$37)</f>
        <v/>
      </c>
      <c r="C17" s="16">
        <f>C6*(1-Inputs!$B$37)</f>
        <v/>
      </c>
      <c r="D17" s="16">
        <f>D6*(1-Inputs!$B$37)</f>
        <v/>
      </c>
      <c r="E17" s="16">
        <f>E6*(1-Inputs!$B$37)</f>
        <v/>
      </c>
      <c r="F17" s="16">
        <f>F6*(1-Inputs!$B$37)</f>
        <v/>
      </c>
      <c r="G17" s="16">
        <f>G6*(1-Inputs!$B$37)</f>
        <v/>
      </c>
      <c r="H17" s="16">
        <f>H6*(1-Inputs!$B$37)</f>
        <v/>
      </c>
      <c r="I17" s="16">
        <f>I6*(1-Inputs!$B$37)</f>
        <v/>
      </c>
      <c r="J17" s="16">
        <f>J6*(1-Inputs!$B$37)</f>
        <v/>
      </c>
      <c r="K17" s="16">
        <f>K6*(1-Inputs!$B$37)</f>
        <v/>
      </c>
      <c r="L17" s="16">
        <f>L6*(1-Inputs!$B$37)</f>
        <v/>
      </c>
      <c r="M17" s="16">
        <f>M6*(1-Inputs!$B$37)</f>
        <v/>
      </c>
    </row>
    <row r="18">
      <c r="A18" s="9" t="inlineStr">
        <is>
          <t xml:space="preserve">  Dairy COGS</t>
        </is>
      </c>
      <c r="B18" s="16">
        <f>B7*(1-Inputs!$B$39)</f>
        <v/>
      </c>
      <c r="C18" s="16">
        <f>C7*(1-Inputs!$B$39)</f>
        <v/>
      </c>
      <c r="D18" s="16">
        <f>D7*(1-Inputs!$B$39)</f>
        <v/>
      </c>
      <c r="E18" s="16">
        <f>E7*(1-Inputs!$B$39)</f>
        <v/>
      </c>
      <c r="F18" s="16">
        <f>F7*(1-Inputs!$B$39)</f>
        <v/>
      </c>
      <c r="G18" s="16">
        <f>G7*(1-Inputs!$B$39)</f>
        <v/>
      </c>
      <c r="H18" s="16">
        <f>H7*(1-Inputs!$B$39)</f>
        <v/>
      </c>
      <c r="I18" s="16">
        <f>I7*(1-Inputs!$B$39)</f>
        <v/>
      </c>
      <c r="J18" s="16">
        <f>J7*(1-Inputs!$B$39)</f>
        <v/>
      </c>
      <c r="K18" s="16">
        <f>K7*(1-Inputs!$B$39)</f>
        <v/>
      </c>
      <c r="L18" s="16">
        <f>L7*(1-Inputs!$B$39)</f>
        <v/>
      </c>
      <c r="M18" s="16">
        <f>M7*(1-Inputs!$B$39)</f>
        <v/>
      </c>
    </row>
    <row r="19">
      <c r="A19" s="9" t="inlineStr">
        <is>
          <t xml:space="preserve">  Meat COGS</t>
        </is>
      </c>
      <c r="B19" s="16">
        <f>B8*(1-Inputs!$B$41)</f>
        <v/>
      </c>
      <c r="C19" s="16">
        <f>C8*(1-Inputs!$B$41)</f>
        <v/>
      </c>
      <c r="D19" s="16">
        <f>D8*(1-Inputs!$B$41)</f>
        <v/>
      </c>
      <c r="E19" s="16">
        <f>E8*(1-Inputs!$B$41)</f>
        <v/>
      </c>
      <c r="F19" s="16">
        <f>F8*(1-Inputs!$B$41)</f>
        <v/>
      </c>
      <c r="G19" s="16">
        <f>G8*(1-Inputs!$B$41)</f>
        <v/>
      </c>
      <c r="H19" s="16">
        <f>H8*(1-Inputs!$B$41)</f>
        <v/>
      </c>
      <c r="I19" s="16">
        <f>I8*(1-Inputs!$B$41)</f>
        <v/>
      </c>
      <c r="J19" s="16">
        <f>J8*(1-Inputs!$B$41)</f>
        <v/>
      </c>
      <c r="K19" s="16">
        <f>K8*(1-Inputs!$B$41)</f>
        <v/>
      </c>
      <c r="L19" s="16">
        <f>L8*(1-Inputs!$B$41)</f>
        <v/>
      </c>
      <c r="M19" s="16">
        <f>M8*(1-Inputs!$B$41)</f>
        <v/>
      </c>
    </row>
    <row r="20">
      <c r="A20" s="9" t="inlineStr">
        <is>
          <t xml:space="preserve">  Frozen COGS</t>
        </is>
      </c>
      <c r="B20" s="16">
        <f>B9*(1-Inputs!$B$43)</f>
        <v/>
      </c>
      <c r="C20" s="16">
        <f>C9*(1-Inputs!$B$43)</f>
        <v/>
      </c>
      <c r="D20" s="16">
        <f>D9*(1-Inputs!$B$43)</f>
        <v/>
      </c>
      <c r="E20" s="16">
        <f>E9*(1-Inputs!$B$43)</f>
        <v/>
      </c>
      <c r="F20" s="16">
        <f>F9*(1-Inputs!$B$43)</f>
        <v/>
      </c>
      <c r="G20" s="16">
        <f>G9*(1-Inputs!$B$43)</f>
        <v/>
      </c>
      <c r="H20" s="16">
        <f>H9*(1-Inputs!$B$43)</f>
        <v/>
      </c>
      <c r="I20" s="16">
        <f>I9*(1-Inputs!$B$43)</f>
        <v/>
      </c>
      <c r="J20" s="16">
        <f>J9*(1-Inputs!$B$43)</f>
        <v/>
      </c>
      <c r="K20" s="16">
        <f>K9*(1-Inputs!$B$43)</f>
        <v/>
      </c>
      <c r="L20" s="16">
        <f>L9*(1-Inputs!$B$43)</f>
        <v/>
      </c>
      <c r="M20" s="16">
        <f>M9*(1-Inputs!$B$43)</f>
        <v/>
      </c>
    </row>
    <row r="21">
      <c r="A21" s="9" t="inlineStr">
        <is>
          <t xml:space="preserve">  Prepared / hot foods COGS</t>
        </is>
      </c>
      <c r="B21" s="16">
        <f>B10*(1-Inputs!$B$45)</f>
        <v/>
      </c>
      <c r="C21" s="16">
        <f>C10*(1-Inputs!$B$45)</f>
        <v/>
      </c>
      <c r="D21" s="16">
        <f>D10*(1-Inputs!$B$45)</f>
        <v/>
      </c>
      <c r="E21" s="16">
        <f>E10*(1-Inputs!$B$45)</f>
        <v/>
      </c>
      <c r="F21" s="16">
        <f>F10*(1-Inputs!$B$45)</f>
        <v/>
      </c>
      <c r="G21" s="16">
        <f>G10*(1-Inputs!$B$45)</f>
        <v/>
      </c>
      <c r="H21" s="16">
        <f>H10*(1-Inputs!$B$45)</f>
        <v/>
      </c>
      <c r="I21" s="16">
        <f>I10*(1-Inputs!$B$45)</f>
        <v/>
      </c>
      <c r="J21" s="16">
        <f>J10*(1-Inputs!$B$45)</f>
        <v/>
      </c>
      <c r="K21" s="16">
        <f>K10*(1-Inputs!$B$45)</f>
        <v/>
      </c>
      <c r="L21" s="16">
        <f>L10*(1-Inputs!$B$45)</f>
        <v/>
      </c>
      <c r="M21" s="16">
        <f>M10*(1-Inputs!$B$45)</f>
        <v/>
      </c>
    </row>
    <row r="22">
      <c r="A22" s="9" t="inlineStr">
        <is>
          <t xml:space="preserve">  Deli / bakery COGS</t>
        </is>
      </c>
      <c r="B22" s="16">
        <f>B11*(1-Inputs!$B$47)</f>
        <v/>
      </c>
      <c r="C22" s="16">
        <f>C11*(1-Inputs!$B$47)</f>
        <v/>
      </c>
      <c r="D22" s="16">
        <f>D11*(1-Inputs!$B$47)</f>
        <v/>
      </c>
      <c r="E22" s="16">
        <f>E11*(1-Inputs!$B$47)</f>
        <v/>
      </c>
      <c r="F22" s="16">
        <f>F11*(1-Inputs!$B$47)</f>
        <v/>
      </c>
      <c r="G22" s="16">
        <f>G11*(1-Inputs!$B$47)</f>
        <v/>
      </c>
      <c r="H22" s="16">
        <f>H11*(1-Inputs!$B$47)</f>
        <v/>
      </c>
      <c r="I22" s="16">
        <f>I11*(1-Inputs!$B$47)</f>
        <v/>
      </c>
      <c r="J22" s="16">
        <f>J11*(1-Inputs!$B$47)</f>
        <v/>
      </c>
      <c r="K22" s="16">
        <f>K11*(1-Inputs!$B$47)</f>
        <v/>
      </c>
      <c r="L22" s="16">
        <f>L11*(1-Inputs!$B$47)</f>
        <v/>
      </c>
      <c r="M22" s="16">
        <f>M11*(1-Inputs!$B$47)</f>
        <v/>
      </c>
    </row>
    <row r="23">
      <c r="A23" s="9" t="inlineStr">
        <is>
          <t xml:space="preserve">  Private label COGS</t>
        </is>
      </c>
      <c r="B23" s="16">
        <f>B12*(1-Inputs!$B$49)</f>
        <v/>
      </c>
      <c r="C23" s="16">
        <f>C12*(1-Inputs!$B$49)</f>
        <v/>
      </c>
      <c r="D23" s="16">
        <f>D12*(1-Inputs!$B$49)</f>
        <v/>
      </c>
      <c r="E23" s="16">
        <f>E12*(1-Inputs!$B$49)</f>
        <v/>
      </c>
      <c r="F23" s="16">
        <f>F12*(1-Inputs!$B$49)</f>
        <v/>
      </c>
      <c r="G23" s="16">
        <f>G12*(1-Inputs!$B$49)</f>
        <v/>
      </c>
      <c r="H23" s="16">
        <f>H12*(1-Inputs!$B$49)</f>
        <v/>
      </c>
      <c r="I23" s="16">
        <f>I12*(1-Inputs!$B$49)</f>
        <v/>
      </c>
      <c r="J23" s="16">
        <f>J12*(1-Inputs!$B$49)</f>
        <v/>
      </c>
      <c r="K23" s="16">
        <f>K12*(1-Inputs!$B$49)</f>
        <v/>
      </c>
      <c r="L23" s="16">
        <f>L12*(1-Inputs!$B$49)</f>
        <v/>
      </c>
      <c r="M23" s="16">
        <f>M12*(1-Inputs!$B$49)</f>
        <v/>
      </c>
    </row>
    <row r="24">
      <c r="A24" s="22" t="inlineStr">
        <is>
          <t>Total retail COGS</t>
        </is>
      </c>
      <c r="B24" s="18">
        <f>SUM(B16:B23)</f>
        <v/>
      </c>
      <c r="C24" s="18">
        <f>SUM(C16:C23)</f>
        <v/>
      </c>
      <c r="D24" s="18">
        <f>SUM(D16:D23)</f>
        <v/>
      </c>
      <c r="E24" s="18">
        <f>SUM(E16:E23)</f>
        <v/>
      </c>
      <c r="F24" s="18">
        <f>SUM(F16:F23)</f>
        <v/>
      </c>
      <c r="G24" s="18">
        <f>SUM(G16:G23)</f>
        <v/>
      </c>
      <c r="H24" s="18">
        <f>SUM(H16:H23)</f>
        <v/>
      </c>
      <c r="I24" s="18">
        <f>SUM(I16:I23)</f>
        <v/>
      </c>
      <c r="J24" s="18">
        <f>SUM(J16:J23)</f>
        <v/>
      </c>
      <c r="K24" s="18">
        <f>SUM(K16:K23)</f>
        <v/>
      </c>
      <c r="L24" s="18">
        <f>SUM(L16:L23)</f>
        <v/>
      </c>
      <c r="M24" s="18">
        <f>SUM(M16:M23)</f>
        <v/>
      </c>
      <c r="N24" s="18">
        <f>SUM(B24:M24)</f>
        <v/>
      </c>
    </row>
    <row r="25">
      <c r="A25" s="22" t="inlineStr">
        <is>
          <t>Total retail gross profit</t>
        </is>
      </c>
      <c r="B25" s="18">
        <f>B2-B24</f>
        <v/>
      </c>
      <c r="C25" s="18">
        <f>C2-C24</f>
        <v/>
      </c>
      <c r="D25" s="18">
        <f>D2-D24</f>
        <v/>
      </c>
      <c r="E25" s="18">
        <f>E2-E24</f>
        <v/>
      </c>
      <c r="F25" s="18">
        <f>F2-F24</f>
        <v/>
      </c>
      <c r="G25" s="18">
        <f>G2-G24</f>
        <v/>
      </c>
      <c r="H25" s="18">
        <f>H2-H24</f>
        <v/>
      </c>
      <c r="I25" s="18">
        <f>I2-I24</f>
        <v/>
      </c>
      <c r="J25" s="18">
        <f>J2-J24</f>
        <v/>
      </c>
      <c r="K25" s="18">
        <f>K2-K24</f>
        <v/>
      </c>
      <c r="L25" s="18">
        <f>L2-L24</f>
        <v/>
      </c>
      <c r="M25" s="18">
        <f>M2-M24</f>
        <v/>
      </c>
      <c r="N25" s="18">
        <f>SUM(B25:M25)</f>
        <v/>
      </c>
    </row>
    <row r="26">
      <c r="A26" s="9" t="inlineStr">
        <is>
          <t>Blended retail GM %</t>
        </is>
      </c>
      <c r="B26" s="25">
        <f>IFERROR(B25/B2,0)</f>
        <v/>
      </c>
      <c r="C26" s="25">
        <f>IFERROR(C25/C2,0)</f>
        <v/>
      </c>
      <c r="D26" s="25">
        <f>IFERROR(D25/D2,0)</f>
        <v/>
      </c>
      <c r="E26" s="25">
        <f>IFERROR(E25/E2,0)</f>
        <v/>
      </c>
      <c r="F26" s="25">
        <f>IFERROR(F25/F2,0)</f>
        <v/>
      </c>
      <c r="G26" s="25">
        <f>IFERROR(G25/G2,0)</f>
        <v/>
      </c>
      <c r="H26" s="25">
        <f>IFERROR(H25/H2,0)</f>
        <v/>
      </c>
      <c r="I26" s="25">
        <f>IFERROR(I25/I2,0)</f>
        <v/>
      </c>
      <c r="J26" s="25">
        <f>IFERROR(J25/J2,0)</f>
        <v/>
      </c>
      <c r="K26" s="25">
        <f>IFERROR(K25/K2,0)</f>
        <v/>
      </c>
      <c r="L26" s="25">
        <f>IFERROR(L25/L2,0)</f>
        <v/>
      </c>
      <c r="M26" s="25">
        <f>IFERROR(M25/M2,0)</f>
        <v/>
      </c>
      <c r="N26" s="25">
        <f>IFERROR(N25/N2,0)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55555"/>
    <outlinePr summaryBelow="1" summaryRight="1"/>
    <pageSetUpPr/>
  </sheetPr>
  <dimension ref="A1:N3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30" customHeight="1">
      <c r="A1" s="6" t="inlineStr">
        <is>
          <t>P&amp;L (Combined Phase 1 + Phase 2)</t>
        </is>
      </c>
      <c r="B1" s="6" t="inlineStr">
        <is>
          <t>M1</t>
        </is>
      </c>
      <c r="C1" s="6" t="inlineStr">
        <is>
          <t>M2</t>
        </is>
      </c>
      <c r="D1" s="6" t="inlineStr">
        <is>
          <t>M3</t>
        </is>
      </c>
      <c r="E1" s="6" t="inlineStr">
        <is>
          <t>M4</t>
        </is>
      </c>
      <c r="F1" s="6" t="inlineStr">
        <is>
          <t>M5</t>
        </is>
      </c>
      <c r="G1" s="6" t="inlineStr">
        <is>
          <t>M6</t>
        </is>
      </c>
      <c r="H1" s="6" t="inlineStr">
        <is>
          <t>M7</t>
        </is>
      </c>
      <c r="I1" s="6" t="inlineStr">
        <is>
          <t>M8</t>
        </is>
      </c>
      <c r="J1" s="6" t="inlineStr">
        <is>
          <t>M9</t>
        </is>
      </c>
      <c r="K1" s="6" t="inlineStr">
        <is>
          <t>M10</t>
        </is>
      </c>
      <c r="L1" s="6" t="inlineStr">
        <is>
          <t>M11</t>
        </is>
      </c>
      <c r="M1" s="6" t="inlineStr">
        <is>
          <t>M12</t>
        </is>
      </c>
      <c r="N1" s="6" t="inlineStr">
        <is>
          <t>Year 1 Total</t>
        </is>
      </c>
    </row>
    <row r="2" ht="22" customHeight="1">
      <c r="A2" s="7" t="inlineStr">
        <is>
          <t>Revenue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</row>
    <row r="3">
      <c r="A3" s="9" t="inlineStr">
        <is>
          <t>Phase 1 produce-box revenue</t>
        </is>
      </c>
      <c r="B3" s="26">
        <f>'Phase 1 Revenue'!B9</f>
        <v/>
      </c>
      <c r="C3" s="26">
        <f>'Phase 1 Revenue'!C9</f>
        <v/>
      </c>
      <c r="D3" s="26">
        <f>'Phase 1 Revenue'!D9</f>
        <v/>
      </c>
      <c r="E3" s="26">
        <f>'Phase 1 Revenue'!E9</f>
        <v/>
      </c>
      <c r="F3" s="26">
        <f>'Phase 1 Revenue'!F9</f>
        <v/>
      </c>
      <c r="G3" s="26">
        <f>'Phase 1 Revenue'!G9</f>
        <v/>
      </c>
      <c r="H3" s="26">
        <f>'Phase 1 Revenue'!H9</f>
        <v/>
      </c>
      <c r="I3" s="26">
        <f>'Phase 1 Revenue'!I9</f>
        <v/>
      </c>
      <c r="J3" s="26">
        <f>'Phase 1 Revenue'!J9</f>
        <v/>
      </c>
      <c r="K3" s="26">
        <f>'Phase 1 Revenue'!K9</f>
        <v/>
      </c>
      <c r="L3" s="26">
        <f>'Phase 1 Revenue'!L9</f>
        <v/>
      </c>
      <c r="M3" s="26">
        <f>'Phase 1 Revenue'!M9</f>
        <v/>
      </c>
      <c r="N3" s="26">
        <f>'Phase 1 Revenue'!N9</f>
        <v/>
      </c>
    </row>
    <row r="4">
      <c r="A4" s="9" t="inlineStr">
        <is>
          <t>Phase 2 retail revenue</t>
        </is>
      </c>
      <c r="B4" s="26">
        <f>'Phase 2 Revenue'!B2</f>
        <v/>
      </c>
      <c r="C4" s="26">
        <f>'Phase 2 Revenue'!C2</f>
        <v/>
      </c>
      <c r="D4" s="26">
        <f>'Phase 2 Revenue'!D2</f>
        <v/>
      </c>
      <c r="E4" s="26">
        <f>'Phase 2 Revenue'!E2</f>
        <v/>
      </c>
      <c r="F4" s="26">
        <f>'Phase 2 Revenue'!F2</f>
        <v/>
      </c>
      <c r="G4" s="26">
        <f>'Phase 2 Revenue'!G2</f>
        <v/>
      </c>
      <c r="H4" s="26">
        <f>'Phase 2 Revenue'!H2</f>
        <v/>
      </c>
      <c r="I4" s="26">
        <f>'Phase 2 Revenue'!I2</f>
        <v/>
      </c>
      <c r="J4" s="26">
        <f>'Phase 2 Revenue'!J2</f>
        <v/>
      </c>
      <c r="K4" s="26">
        <f>'Phase 2 Revenue'!K2</f>
        <v/>
      </c>
      <c r="L4" s="26">
        <f>'Phase 2 Revenue'!L2</f>
        <v/>
      </c>
      <c r="M4" s="26">
        <f>'Phase 2 Revenue'!M2</f>
        <v/>
      </c>
      <c r="N4" s="26">
        <f>'Phase 2 Revenue'!N2</f>
        <v/>
      </c>
    </row>
    <row r="5">
      <c r="A5" s="22" t="inlineStr">
        <is>
          <t>Total revenue</t>
        </is>
      </c>
      <c r="B5" s="18">
        <f>B3+B4</f>
        <v/>
      </c>
      <c r="C5" s="18">
        <f>C3+C4</f>
        <v/>
      </c>
      <c r="D5" s="18">
        <f>D3+D4</f>
        <v/>
      </c>
      <c r="E5" s="18">
        <f>E3+E4</f>
        <v/>
      </c>
      <c r="F5" s="18">
        <f>F3+F4</f>
        <v/>
      </c>
      <c r="G5" s="18">
        <f>G3+G4</f>
        <v/>
      </c>
      <c r="H5" s="18">
        <f>H3+H4</f>
        <v/>
      </c>
      <c r="I5" s="18">
        <f>I3+I4</f>
        <v/>
      </c>
      <c r="J5" s="18">
        <f>J3+J4</f>
        <v/>
      </c>
      <c r="K5" s="18">
        <f>K3+K4</f>
        <v/>
      </c>
      <c r="L5" s="18">
        <f>L3+L4</f>
        <v/>
      </c>
      <c r="M5" s="18">
        <f>M3+M4</f>
        <v/>
      </c>
      <c r="N5" s="18">
        <f>N3+N4</f>
        <v/>
      </c>
    </row>
    <row r="7" ht="22" customHeight="1">
      <c r="A7" s="7" t="inlineStr">
        <is>
          <t>Cost of goods sold</t>
        </is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</row>
    <row r="8">
      <c r="A8" s="9" t="inlineStr">
        <is>
          <t>Phase 1 COGS</t>
        </is>
      </c>
      <c r="B8" s="26">
        <f>'Phase 1 Revenue'!B10</f>
        <v/>
      </c>
      <c r="C8" s="26">
        <f>'Phase 1 Revenue'!C10</f>
        <v/>
      </c>
      <c r="D8" s="26">
        <f>'Phase 1 Revenue'!D10</f>
        <v/>
      </c>
      <c r="E8" s="26">
        <f>'Phase 1 Revenue'!E10</f>
        <v/>
      </c>
      <c r="F8" s="26">
        <f>'Phase 1 Revenue'!F10</f>
        <v/>
      </c>
      <c r="G8" s="26">
        <f>'Phase 1 Revenue'!G10</f>
        <v/>
      </c>
      <c r="H8" s="26">
        <f>'Phase 1 Revenue'!H10</f>
        <v/>
      </c>
      <c r="I8" s="26">
        <f>'Phase 1 Revenue'!I10</f>
        <v/>
      </c>
      <c r="J8" s="26">
        <f>'Phase 1 Revenue'!J10</f>
        <v/>
      </c>
      <c r="K8" s="26">
        <f>'Phase 1 Revenue'!K10</f>
        <v/>
      </c>
      <c r="L8" s="26">
        <f>'Phase 1 Revenue'!L10</f>
        <v/>
      </c>
      <c r="M8" s="26">
        <f>'Phase 1 Revenue'!M10</f>
        <v/>
      </c>
      <c r="N8" s="26">
        <f>'Phase 1 Revenue'!N10</f>
        <v/>
      </c>
    </row>
    <row r="9">
      <c r="A9" s="9" t="inlineStr">
        <is>
          <t>Phase 2 COGS</t>
        </is>
      </c>
      <c r="B9" s="26">
        <f>'Phase 2 Revenue'!B24</f>
        <v/>
      </c>
      <c r="C9" s="26">
        <f>'Phase 2 Revenue'!C24</f>
        <v/>
      </c>
      <c r="D9" s="26">
        <f>'Phase 2 Revenue'!D24</f>
        <v/>
      </c>
      <c r="E9" s="26">
        <f>'Phase 2 Revenue'!E24</f>
        <v/>
      </c>
      <c r="F9" s="26">
        <f>'Phase 2 Revenue'!F24</f>
        <v/>
      </c>
      <c r="G9" s="26">
        <f>'Phase 2 Revenue'!G24</f>
        <v/>
      </c>
      <c r="H9" s="26">
        <f>'Phase 2 Revenue'!H24</f>
        <v/>
      </c>
      <c r="I9" s="26">
        <f>'Phase 2 Revenue'!I24</f>
        <v/>
      </c>
      <c r="J9" s="26">
        <f>'Phase 2 Revenue'!J24</f>
        <v/>
      </c>
      <c r="K9" s="26">
        <f>'Phase 2 Revenue'!K24</f>
        <v/>
      </c>
      <c r="L9" s="26">
        <f>'Phase 2 Revenue'!L24</f>
        <v/>
      </c>
      <c r="M9" s="26">
        <f>'Phase 2 Revenue'!M24</f>
        <v/>
      </c>
      <c r="N9" s="26">
        <f>'Phase 2 Revenue'!N24</f>
        <v/>
      </c>
    </row>
    <row r="10">
      <c r="A10" s="22" t="inlineStr">
        <is>
          <t>Total COGS</t>
        </is>
      </c>
      <c r="B10" s="18">
        <f>B8+B9</f>
        <v/>
      </c>
      <c r="C10" s="18">
        <f>C8+C9</f>
        <v/>
      </c>
      <c r="D10" s="18">
        <f>D8+D9</f>
        <v/>
      </c>
      <c r="E10" s="18">
        <f>E8+E9</f>
        <v/>
      </c>
      <c r="F10" s="18">
        <f>F8+F9</f>
        <v/>
      </c>
      <c r="G10" s="18">
        <f>G8+G9</f>
        <v/>
      </c>
      <c r="H10" s="18">
        <f>H8+H9</f>
        <v/>
      </c>
      <c r="I10" s="18">
        <f>I8+I9</f>
        <v/>
      </c>
      <c r="J10" s="18">
        <f>J8+J9</f>
        <v/>
      </c>
      <c r="K10" s="18">
        <f>K8+K9</f>
        <v/>
      </c>
      <c r="L10" s="18">
        <f>L8+L9</f>
        <v/>
      </c>
      <c r="M10" s="18">
        <f>M8+M9</f>
        <v/>
      </c>
      <c r="N10" s="18">
        <f>N8+N9</f>
        <v/>
      </c>
    </row>
    <row r="11">
      <c r="A11" s="22" t="inlineStr">
        <is>
          <t>Gross profit</t>
        </is>
      </c>
      <c r="B11" s="18">
        <f>B5-B10</f>
        <v/>
      </c>
      <c r="C11" s="18">
        <f>C5-C10</f>
        <v/>
      </c>
      <c r="D11" s="18">
        <f>D5-D10</f>
        <v/>
      </c>
      <c r="E11" s="18">
        <f>E5-E10</f>
        <v/>
      </c>
      <c r="F11" s="18">
        <f>F5-F10</f>
        <v/>
      </c>
      <c r="G11" s="18">
        <f>G5-G10</f>
        <v/>
      </c>
      <c r="H11" s="18">
        <f>H5-H10</f>
        <v/>
      </c>
      <c r="I11" s="18">
        <f>I5-I10</f>
        <v/>
      </c>
      <c r="J11" s="18">
        <f>J5-J10</f>
        <v/>
      </c>
      <c r="K11" s="18">
        <f>K5-K10</f>
        <v/>
      </c>
      <c r="L11" s="18">
        <f>L5-L10</f>
        <v/>
      </c>
      <c r="M11" s="18">
        <f>M5-M10</f>
        <v/>
      </c>
      <c r="N11" s="18">
        <f>N5-N10</f>
        <v/>
      </c>
    </row>
    <row r="12">
      <c r="A12" s="9" t="inlineStr">
        <is>
          <t xml:space="preserve">  Gross margin %</t>
        </is>
      </c>
      <c r="B12" s="25">
        <f>IFERROR(B11/B5,0)</f>
        <v/>
      </c>
      <c r="C12" s="25">
        <f>IFERROR(C11/C5,0)</f>
        <v/>
      </c>
      <c r="D12" s="25">
        <f>IFERROR(D11/D5,0)</f>
        <v/>
      </c>
      <c r="E12" s="25">
        <f>IFERROR(E11/E5,0)</f>
        <v/>
      </c>
      <c r="F12" s="25">
        <f>IFERROR(F11/F5,0)</f>
        <v/>
      </c>
      <c r="G12" s="25">
        <f>IFERROR(G11/G5,0)</f>
        <v/>
      </c>
      <c r="H12" s="25">
        <f>IFERROR(H11/H5,0)</f>
        <v/>
      </c>
      <c r="I12" s="25">
        <f>IFERROR(I11/I5,0)</f>
        <v/>
      </c>
      <c r="J12" s="25">
        <f>IFERROR(J11/J5,0)</f>
        <v/>
      </c>
      <c r="K12" s="25">
        <f>IFERROR(K11/K5,0)</f>
        <v/>
      </c>
      <c r="L12" s="25">
        <f>IFERROR(L11/L5,0)</f>
        <v/>
      </c>
      <c r="M12" s="25">
        <f>IFERROR(M11/M5,0)</f>
        <v/>
      </c>
      <c r="N12" s="25">
        <f>IFERROR(N11/N5,0)</f>
        <v/>
      </c>
    </row>
    <row r="14" ht="22" customHeight="1">
      <c r="A14" s="7" t="inlineStr">
        <is>
          <t>Operating expenses</t>
        </is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</row>
    <row r="15">
      <c r="A15" s="9" t="inlineStr">
        <is>
          <t xml:space="preserve">  Labor (gross)</t>
        </is>
      </c>
      <c r="B15" s="16">
        <f>Inputs!$B$61*Inputs!$B$59*Inputs!$B$60</f>
        <v/>
      </c>
      <c r="C15" s="16">
        <f>Inputs!$B$61*Inputs!$B$59*Inputs!$B$60</f>
        <v/>
      </c>
      <c r="D15" s="16">
        <f>Inputs!$B$61*Inputs!$B$59*Inputs!$B$60</f>
        <v/>
      </c>
      <c r="E15" s="16">
        <f>Inputs!$B$62*Inputs!$B$59*Inputs!$B$60</f>
        <v/>
      </c>
      <c r="F15" s="16">
        <f>Inputs!$B$62*Inputs!$B$59*Inputs!$B$60</f>
        <v/>
      </c>
      <c r="G15" s="16">
        <f>Inputs!$B$62*Inputs!$B$59*Inputs!$B$60</f>
        <v/>
      </c>
      <c r="H15" s="16">
        <f>Inputs!$B$63*Inputs!$B$59*Inputs!$B$60</f>
        <v/>
      </c>
      <c r="I15" s="16">
        <f>Inputs!$B$63*Inputs!$B$59*Inputs!$B$60</f>
        <v/>
      </c>
      <c r="J15" s="16">
        <f>Inputs!$B$63*Inputs!$B$59*Inputs!$B$60</f>
        <v/>
      </c>
      <c r="K15" s="16">
        <f>Inputs!$B$64*Inputs!$B$59*Inputs!$B$60</f>
        <v/>
      </c>
      <c r="L15" s="16">
        <f>Inputs!$B$64*Inputs!$B$59*Inputs!$B$60</f>
        <v/>
      </c>
      <c r="M15" s="16">
        <f>Inputs!$B$64*Inputs!$B$59*Inputs!$B$60</f>
        <v/>
      </c>
      <c r="N15" s="16">
        <f>SUM(B15:M15)</f>
        <v/>
      </c>
    </row>
    <row r="16">
      <c r="A16" s="9" t="inlineStr">
        <is>
          <t xml:space="preserve">  Less: Workforce dev grant offset (amortized)</t>
        </is>
      </c>
      <c r="B16" s="16">
        <f>$N16/12</f>
        <v/>
      </c>
      <c r="C16" s="16">
        <f>$N16/12</f>
        <v/>
      </c>
      <c r="D16" s="16">
        <f>$N16/12</f>
        <v/>
      </c>
      <c r="E16" s="16">
        <f>$N16/12</f>
        <v/>
      </c>
      <c r="F16" s="16">
        <f>$N16/12</f>
        <v/>
      </c>
      <c r="G16" s="16">
        <f>$N16/12</f>
        <v/>
      </c>
      <c r="H16" s="16">
        <f>$N16/12</f>
        <v/>
      </c>
      <c r="I16" s="16">
        <f>$N16/12</f>
        <v/>
      </c>
      <c r="J16" s="16">
        <f>$N16/12</f>
        <v/>
      </c>
      <c r="K16" s="16">
        <f>$N16/12</f>
        <v/>
      </c>
      <c r="L16" s="16">
        <f>$N16/12</f>
        <v/>
      </c>
      <c r="M16" s="16">
        <f>$N16/12</f>
        <v/>
      </c>
      <c r="N16" s="16">
        <f>-(Inputs!$B$81+Inputs!$B$82)</f>
        <v/>
      </c>
    </row>
    <row r="17">
      <c r="A17" s="9" t="inlineStr">
        <is>
          <t xml:space="preserve">  Net labor</t>
        </is>
      </c>
      <c r="B17" s="16">
        <f>B15+B16</f>
        <v/>
      </c>
      <c r="C17" s="16">
        <f>C15+C16</f>
        <v/>
      </c>
      <c r="D17" s="16">
        <f>D15+D16</f>
        <v/>
      </c>
      <c r="E17" s="16">
        <f>E15+E16</f>
        <v/>
      </c>
      <c r="F17" s="16">
        <f>F15+F16</f>
        <v/>
      </c>
      <c r="G17" s="16">
        <f>G15+G16</f>
        <v/>
      </c>
      <c r="H17" s="16">
        <f>H15+H16</f>
        <v/>
      </c>
      <c r="I17" s="16">
        <f>I15+I16</f>
        <v/>
      </c>
      <c r="J17" s="16">
        <f>J15+J16</f>
        <v/>
      </c>
      <c r="K17" s="16">
        <f>K15+K16</f>
        <v/>
      </c>
      <c r="L17" s="16">
        <f>L15+L16</f>
        <v/>
      </c>
      <c r="M17" s="16">
        <f>M15+M16</f>
        <v/>
      </c>
      <c r="N17" s="16">
        <f>N15+N16</f>
        <v/>
      </c>
    </row>
    <row r="18">
      <c r="A18" s="9" t="inlineStr">
        <is>
          <t xml:space="preserve">  Rent (subsidized)</t>
        </is>
      </c>
      <c r="B18" s="16">
        <f>Inputs!$B$4</f>
        <v/>
      </c>
      <c r="C18" s="16">
        <f>Inputs!$B$4</f>
        <v/>
      </c>
      <c r="D18" s="16">
        <f>Inputs!$B$4</f>
        <v/>
      </c>
      <c r="E18" s="16">
        <f>Inputs!$B$4</f>
        <v/>
      </c>
      <c r="F18" s="16">
        <f>Inputs!$B$4</f>
        <v/>
      </c>
      <c r="G18" s="16">
        <f>Inputs!$B$4</f>
        <v/>
      </c>
      <c r="H18" s="16">
        <f>Inputs!$B$5*Inputs!$B$3/12</f>
        <v/>
      </c>
      <c r="I18" s="16">
        <f>Inputs!$B$5*Inputs!$B$3/12</f>
        <v/>
      </c>
      <c r="J18" s="16">
        <f>Inputs!$B$5*Inputs!$B$3/12</f>
        <v/>
      </c>
      <c r="K18" s="16">
        <f>Inputs!$B$5*Inputs!$B$3/12</f>
        <v/>
      </c>
      <c r="L18" s="16">
        <f>Inputs!$B$5*Inputs!$B$3/12</f>
        <v/>
      </c>
      <c r="M18" s="16">
        <f>Inputs!$B$5*Inputs!$B$3/12</f>
        <v/>
      </c>
      <c r="N18" s="16">
        <f>SUM(B18:M18)</f>
        <v/>
      </c>
    </row>
    <row r="19">
      <c r="A19" s="9" t="inlineStr">
        <is>
          <t xml:space="preserve">  Utilities</t>
        </is>
      </c>
      <c r="B19" s="16">
        <f>Inputs!$B$69</f>
        <v/>
      </c>
      <c r="C19" s="16">
        <f>Inputs!$B$69</f>
        <v/>
      </c>
      <c r="D19" s="16">
        <f>Inputs!$B$69</f>
        <v/>
      </c>
      <c r="E19" s="16">
        <f>Inputs!$B$69</f>
        <v/>
      </c>
      <c r="F19" s="16">
        <f>Inputs!$B$69</f>
        <v/>
      </c>
      <c r="G19" s="16">
        <f>Inputs!$B$69</f>
        <v/>
      </c>
      <c r="H19" s="16">
        <f>Inputs!$B$70</f>
        <v/>
      </c>
      <c r="I19" s="16">
        <f>Inputs!$B$70</f>
        <v/>
      </c>
      <c r="J19" s="16">
        <f>Inputs!$B$70</f>
        <v/>
      </c>
      <c r="K19" s="16">
        <f>Inputs!$B$70</f>
        <v/>
      </c>
      <c r="L19" s="16">
        <f>Inputs!$B$70</f>
        <v/>
      </c>
      <c r="M19" s="16">
        <f>Inputs!$B$70</f>
        <v/>
      </c>
      <c r="N19" s="16">
        <f>SUM(B19:M19)</f>
        <v/>
      </c>
    </row>
    <row r="20">
      <c r="A20" s="9" t="inlineStr">
        <is>
          <t xml:space="preserve">  Insurance</t>
        </is>
      </c>
      <c r="B20" s="16">
        <f>Inputs!$B$71/12</f>
        <v/>
      </c>
      <c r="C20" s="16">
        <f>Inputs!$B$71/12</f>
        <v/>
      </c>
      <c r="D20" s="16">
        <f>Inputs!$B$71/12</f>
        <v/>
      </c>
      <c r="E20" s="16">
        <f>Inputs!$B$71/12</f>
        <v/>
      </c>
      <c r="F20" s="16">
        <f>Inputs!$B$71/12</f>
        <v/>
      </c>
      <c r="G20" s="16">
        <f>Inputs!$B$71/12</f>
        <v/>
      </c>
      <c r="H20" s="16">
        <f>Inputs!$B$71/12</f>
        <v/>
      </c>
      <c r="I20" s="16">
        <f>Inputs!$B$71/12</f>
        <v/>
      </c>
      <c r="J20" s="16">
        <f>Inputs!$B$71/12</f>
        <v/>
      </c>
      <c r="K20" s="16">
        <f>Inputs!$B$71/12</f>
        <v/>
      </c>
      <c r="L20" s="16">
        <f>Inputs!$B$71/12</f>
        <v/>
      </c>
      <c r="M20" s="16">
        <f>Inputs!$B$71/12</f>
        <v/>
      </c>
      <c r="N20" s="16">
        <f>SUM(B20:M20)</f>
        <v/>
      </c>
    </row>
    <row r="21">
      <c r="A21" s="9" t="inlineStr">
        <is>
          <t xml:space="preserve">  POS / technology</t>
        </is>
      </c>
      <c r="B21" s="16">
        <f>Inputs!$B$72</f>
        <v/>
      </c>
      <c r="C21" s="16">
        <f>Inputs!$B$72</f>
        <v/>
      </c>
      <c r="D21" s="16">
        <f>Inputs!$B$72</f>
        <v/>
      </c>
      <c r="E21" s="16">
        <f>Inputs!$B$72</f>
        <v/>
      </c>
      <c r="F21" s="16">
        <f>Inputs!$B$72</f>
        <v/>
      </c>
      <c r="G21" s="16">
        <f>Inputs!$B$72</f>
        <v/>
      </c>
      <c r="H21" s="16">
        <f>Inputs!$B$72</f>
        <v/>
      </c>
      <c r="I21" s="16">
        <f>Inputs!$B$72</f>
        <v/>
      </c>
      <c r="J21" s="16">
        <f>Inputs!$B$72</f>
        <v/>
      </c>
      <c r="K21" s="16">
        <f>Inputs!$B$72</f>
        <v/>
      </c>
      <c r="L21" s="16">
        <f>Inputs!$B$72</f>
        <v/>
      </c>
      <c r="M21" s="16">
        <f>Inputs!$B$72</f>
        <v/>
      </c>
      <c r="N21" s="16">
        <f>SUM(B21:M21)</f>
        <v/>
      </c>
    </row>
    <row r="22">
      <c r="A22" s="9" t="inlineStr">
        <is>
          <t xml:space="preserve">  Cleaning / supplies</t>
        </is>
      </c>
      <c r="B22" s="16">
        <f>Inputs!$B$73</f>
        <v/>
      </c>
      <c r="C22" s="16">
        <f>Inputs!$B$73</f>
        <v/>
      </c>
      <c r="D22" s="16">
        <f>Inputs!$B$73</f>
        <v/>
      </c>
      <c r="E22" s="16">
        <f>Inputs!$B$73</f>
        <v/>
      </c>
      <c r="F22" s="16">
        <f>Inputs!$B$73</f>
        <v/>
      </c>
      <c r="G22" s="16">
        <f>Inputs!$B$73</f>
        <v/>
      </c>
      <c r="H22" s="16">
        <f>Inputs!$B$73</f>
        <v/>
      </c>
      <c r="I22" s="16">
        <f>Inputs!$B$73</f>
        <v/>
      </c>
      <c r="J22" s="16">
        <f>Inputs!$B$73</f>
        <v/>
      </c>
      <c r="K22" s="16">
        <f>Inputs!$B$73</f>
        <v/>
      </c>
      <c r="L22" s="16">
        <f>Inputs!$B$73</f>
        <v/>
      </c>
      <c r="M22" s="16">
        <f>Inputs!$B$73</f>
        <v/>
      </c>
      <c r="N22" s="16">
        <f>SUM(B22:M22)</f>
        <v/>
      </c>
    </row>
    <row r="23">
      <c r="A23" s="9" t="inlineStr">
        <is>
          <t xml:space="preserve">  Marketing / outreach</t>
        </is>
      </c>
      <c r="B23" s="16">
        <f>Inputs!$B$74</f>
        <v/>
      </c>
      <c r="C23" s="16">
        <f>Inputs!$B$74</f>
        <v/>
      </c>
      <c r="D23" s="16">
        <f>Inputs!$B$74</f>
        <v/>
      </c>
      <c r="E23" s="16">
        <f>Inputs!$B$74</f>
        <v/>
      </c>
      <c r="F23" s="16">
        <f>Inputs!$B$74</f>
        <v/>
      </c>
      <c r="G23" s="16">
        <f>Inputs!$B$74</f>
        <v/>
      </c>
      <c r="H23" s="16">
        <f>Inputs!$B$74</f>
        <v/>
      </c>
      <c r="I23" s="16">
        <f>Inputs!$B$74</f>
        <v/>
      </c>
      <c r="J23" s="16">
        <f>Inputs!$B$74</f>
        <v/>
      </c>
      <c r="K23" s="16">
        <f>Inputs!$B$74</f>
        <v/>
      </c>
      <c r="L23" s="16">
        <f>Inputs!$B$74</f>
        <v/>
      </c>
      <c r="M23" s="16">
        <f>Inputs!$B$74</f>
        <v/>
      </c>
      <c r="N23" s="16">
        <f>SUM(B23:M23)</f>
        <v/>
      </c>
    </row>
    <row r="24">
      <c r="A24" s="9" t="inlineStr">
        <is>
          <t xml:space="preserve">  Vehicle / delivery overhead</t>
        </is>
      </c>
      <c r="B24" s="16">
        <f>Inputs!$B$75</f>
        <v/>
      </c>
      <c r="C24" s="16">
        <f>Inputs!$B$75</f>
        <v/>
      </c>
      <c r="D24" s="16">
        <f>Inputs!$B$75</f>
        <v/>
      </c>
      <c r="E24" s="16">
        <f>Inputs!$B$75</f>
        <v/>
      </c>
      <c r="F24" s="16">
        <f>Inputs!$B$75</f>
        <v/>
      </c>
      <c r="G24" s="16">
        <f>Inputs!$B$75</f>
        <v/>
      </c>
      <c r="H24" s="16">
        <f>Inputs!$B$75</f>
        <v/>
      </c>
      <c r="I24" s="16">
        <f>Inputs!$B$75</f>
        <v/>
      </c>
      <c r="J24" s="16">
        <f>Inputs!$B$75</f>
        <v/>
      </c>
      <c r="K24" s="16">
        <f>Inputs!$B$75</f>
        <v/>
      </c>
      <c r="L24" s="16">
        <f>Inputs!$B$75</f>
        <v/>
      </c>
      <c r="M24" s="16">
        <f>Inputs!$B$75</f>
        <v/>
      </c>
      <c r="N24" s="16">
        <f>SUM(B24:M24)</f>
        <v/>
      </c>
    </row>
    <row r="25">
      <c r="A25" s="9" t="inlineStr">
        <is>
          <t xml:space="preserve">  Phase 1 delivery variable cost</t>
        </is>
      </c>
      <c r="B25" s="26">
        <f>'Phase 1 Revenue'!B12</f>
        <v/>
      </c>
      <c r="C25" s="26">
        <f>'Phase 1 Revenue'!C12</f>
        <v/>
      </c>
      <c r="D25" s="26">
        <f>'Phase 1 Revenue'!D12</f>
        <v/>
      </c>
      <c r="E25" s="26">
        <f>'Phase 1 Revenue'!E12</f>
        <v/>
      </c>
      <c r="F25" s="26">
        <f>'Phase 1 Revenue'!F12</f>
        <v/>
      </c>
      <c r="G25" s="26">
        <f>'Phase 1 Revenue'!G12</f>
        <v/>
      </c>
      <c r="H25" s="26">
        <f>'Phase 1 Revenue'!H12</f>
        <v/>
      </c>
      <c r="I25" s="26">
        <f>'Phase 1 Revenue'!I12</f>
        <v/>
      </c>
      <c r="J25" s="26">
        <f>'Phase 1 Revenue'!J12</f>
        <v/>
      </c>
      <c r="K25" s="26">
        <f>'Phase 1 Revenue'!K12</f>
        <v/>
      </c>
      <c r="L25" s="26">
        <f>'Phase 1 Revenue'!L12</f>
        <v/>
      </c>
      <c r="M25" s="26">
        <f>'Phase 1 Revenue'!M12</f>
        <v/>
      </c>
      <c r="N25" s="26">
        <f>'Phase 1 Revenue'!N12</f>
        <v/>
      </c>
    </row>
    <row r="26">
      <c r="A26" s="9" t="inlineStr">
        <is>
          <t xml:space="preserve">  Professional fees</t>
        </is>
      </c>
      <c r="B26" s="16">
        <f>Inputs!$B$76</f>
        <v/>
      </c>
      <c r="C26" s="16">
        <f>Inputs!$B$76</f>
        <v/>
      </c>
      <c r="D26" s="16">
        <f>Inputs!$B$76</f>
        <v/>
      </c>
      <c r="E26" s="16">
        <f>Inputs!$B$76</f>
        <v/>
      </c>
      <c r="F26" s="16">
        <f>Inputs!$B$76</f>
        <v/>
      </c>
      <c r="G26" s="16">
        <f>Inputs!$B$76</f>
        <v/>
      </c>
      <c r="H26" s="16">
        <f>Inputs!$B$76</f>
        <v/>
      </c>
      <c r="I26" s="16">
        <f>Inputs!$B$76</f>
        <v/>
      </c>
      <c r="J26" s="16">
        <f>Inputs!$B$76</f>
        <v/>
      </c>
      <c r="K26" s="16">
        <f>Inputs!$B$76</f>
        <v/>
      </c>
      <c r="L26" s="16">
        <f>Inputs!$B$76</f>
        <v/>
      </c>
      <c r="M26" s="16">
        <f>Inputs!$B$76</f>
        <v/>
      </c>
      <c r="N26" s="16">
        <f>SUM(B26:M26)</f>
        <v/>
      </c>
    </row>
    <row r="27">
      <c r="A27" s="9" t="inlineStr">
        <is>
          <t xml:space="preserve">  Shrink / waste (% of retail revenue)</t>
        </is>
      </c>
      <c r="B27" s="16">
        <f>B4*Inputs!$B$77</f>
        <v/>
      </c>
      <c r="C27" s="16">
        <f>C4*Inputs!$B$77</f>
        <v/>
      </c>
      <c r="D27" s="16">
        <f>D4*Inputs!$B$77</f>
        <v/>
      </c>
      <c r="E27" s="16">
        <f>E4*Inputs!$B$77</f>
        <v/>
      </c>
      <c r="F27" s="16">
        <f>F4*Inputs!$B$77</f>
        <v/>
      </c>
      <c r="G27" s="16">
        <f>G4*Inputs!$B$77</f>
        <v/>
      </c>
      <c r="H27" s="16">
        <f>H4*Inputs!$B$77</f>
        <v/>
      </c>
      <c r="I27" s="16">
        <f>I4*Inputs!$B$77</f>
        <v/>
      </c>
      <c r="J27" s="16">
        <f>J4*Inputs!$B$77</f>
        <v/>
      </c>
      <c r="K27" s="16">
        <f>K4*Inputs!$B$77</f>
        <v/>
      </c>
      <c r="L27" s="16">
        <f>L4*Inputs!$B$77</f>
        <v/>
      </c>
      <c r="M27" s="16">
        <f>M4*Inputs!$B$77</f>
        <v/>
      </c>
      <c r="N27" s="16">
        <f>N4*Inputs!$B$77</f>
        <v/>
      </c>
    </row>
    <row r="28">
      <c r="A28" s="22" t="inlineStr">
        <is>
          <t>Total operating expenses</t>
        </is>
      </c>
      <c r="B28" s="18">
        <f>SUM(B17:B27)</f>
        <v/>
      </c>
      <c r="C28" s="18">
        <f>SUM(C17:C27)</f>
        <v/>
      </c>
      <c r="D28" s="18">
        <f>SUM(D17:D27)</f>
        <v/>
      </c>
      <c r="E28" s="18">
        <f>SUM(E17:E27)</f>
        <v/>
      </c>
      <c r="F28" s="18">
        <f>SUM(F17:F27)</f>
        <v/>
      </c>
      <c r="G28" s="18">
        <f>SUM(G17:G27)</f>
        <v/>
      </c>
      <c r="H28" s="18">
        <f>SUM(H17:H27)</f>
        <v/>
      </c>
      <c r="I28" s="18">
        <f>SUM(I17:I27)</f>
        <v/>
      </c>
      <c r="J28" s="18">
        <f>SUM(J17:J27)</f>
        <v/>
      </c>
      <c r="K28" s="18">
        <f>SUM(K17:K27)</f>
        <v/>
      </c>
      <c r="L28" s="18">
        <f>SUM(L17:L27)</f>
        <v/>
      </c>
      <c r="M28" s="18">
        <f>SUM(M17:M27)</f>
        <v/>
      </c>
      <c r="N28" s="18">
        <f>SUM(N17:N27)</f>
        <v/>
      </c>
    </row>
    <row r="30">
      <c r="A30" s="22" t="inlineStr">
        <is>
          <t>EBITDA</t>
        </is>
      </c>
      <c r="B30" s="18">
        <f>B11-B28</f>
        <v/>
      </c>
      <c r="C30" s="18">
        <f>C11-C28</f>
        <v/>
      </c>
      <c r="D30" s="18">
        <f>D11-D28</f>
        <v/>
      </c>
      <c r="E30" s="18">
        <f>E11-E28</f>
        <v/>
      </c>
      <c r="F30" s="18">
        <f>F11-F28</f>
        <v/>
      </c>
      <c r="G30" s="18">
        <f>G11-G28</f>
        <v/>
      </c>
      <c r="H30" s="18">
        <f>H11-H28</f>
        <v/>
      </c>
      <c r="I30" s="18">
        <f>I11-I28</f>
        <v/>
      </c>
      <c r="J30" s="18">
        <f>J11-J28</f>
        <v/>
      </c>
      <c r="K30" s="18">
        <f>K11-K28</f>
        <v/>
      </c>
      <c r="L30" s="18">
        <f>L11-L28</f>
        <v/>
      </c>
      <c r="M30" s="18">
        <f>M11-M28</f>
        <v/>
      </c>
      <c r="N30" s="18">
        <f>N11-N28</f>
        <v/>
      </c>
    </row>
    <row r="31">
      <c r="A31" s="9" t="inlineStr">
        <is>
          <t xml:space="preserve">  EBITDA margin %</t>
        </is>
      </c>
      <c r="B31" s="25">
        <f>IFERROR(B30/B5,0)</f>
        <v/>
      </c>
      <c r="C31" s="25">
        <f>IFERROR(C30/C5,0)</f>
        <v/>
      </c>
      <c r="D31" s="25">
        <f>IFERROR(D30/D5,0)</f>
        <v/>
      </c>
      <c r="E31" s="25">
        <f>IFERROR(E30/E5,0)</f>
        <v/>
      </c>
      <c r="F31" s="25">
        <f>IFERROR(F30/F5,0)</f>
        <v/>
      </c>
      <c r="G31" s="25">
        <f>IFERROR(G30/G5,0)</f>
        <v/>
      </c>
      <c r="H31" s="25">
        <f>IFERROR(H30/H5,0)</f>
        <v/>
      </c>
      <c r="I31" s="25">
        <f>IFERROR(I30/I5,0)</f>
        <v/>
      </c>
      <c r="J31" s="25">
        <f>IFERROR(J30/J5,0)</f>
        <v/>
      </c>
      <c r="K31" s="25">
        <f>IFERROR(K30/K5,0)</f>
        <v/>
      </c>
      <c r="L31" s="25">
        <f>IFERROR(L30/L5,0)</f>
        <v/>
      </c>
      <c r="M31" s="25">
        <f>IFERROR(M30/M5,0)</f>
        <v/>
      </c>
      <c r="N31" s="25">
        <f>IFERROR(N30/N5,0)</f>
        <v/>
      </c>
    </row>
    <row r="33" ht="22" customHeight="1">
      <c r="A33" s="7" t="inlineStr">
        <is>
          <t>Below EBITDA</t>
        </is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</row>
    <row r="34">
      <c r="A34" s="9" t="inlineStr">
        <is>
          <t xml:space="preserve">  D&amp;A (estimated, equipment 7-yr SL)</t>
        </is>
      </c>
      <c r="B34" s="16">
        <f>1200</f>
        <v/>
      </c>
      <c r="C34" s="16">
        <f>1200</f>
        <v/>
      </c>
      <c r="D34" s="16">
        <f>1200</f>
        <v/>
      </c>
      <c r="E34" s="16">
        <f>1200</f>
        <v/>
      </c>
      <c r="F34" s="16">
        <f>1200</f>
        <v/>
      </c>
      <c r="G34" s="16">
        <f>1200</f>
        <v/>
      </c>
      <c r="H34" s="16">
        <f>1200</f>
        <v/>
      </c>
      <c r="I34" s="16">
        <f>1200</f>
        <v/>
      </c>
      <c r="J34" s="16">
        <f>1200</f>
        <v/>
      </c>
      <c r="K34" s="16">
        <f>1200</f>
        <v/>
      </c>
      <c r="L34" s="16">
        <f>1200</f>
        <v/>
      </c>
      <c r="M34" s="16">
        <f>1200</f>
        <v/>
      </c>
      <c r="N34" s="16">
        <f>SUM(B34:M34)</f>
        <v/>
      </c>
    </row>
    <row r="35">
      <c r="A35" s="9" t="inlineStr">
        <is>
          <t xml:space="preserve">  Interest — term debt</t>
        </is>
      </c>
      <c r="B35" s="16">
        <f>(Inputs!$B$83+Inputs!$B$84)*Inputs!$B$89/12</f>
        <v/>
      </c>
      <c r="C35" s="16">
        <f>(Inputs!$B$83+Inputs!$B$84)*Inputs!$B$89/12</f>
        <v/>
      </c>
      <c r="D35" s="16">
        <f>(Inputs!$B$83+Inputs!$B$84)*Inputs!$B$89/12</f>
        <v/>
      </c>
      <c r="E35" s="16">
        <f>(Inputs!$B$83+Inputs!$B$84)*Inputs!$B$89/12</f>
        <v/>
      </c>
      <c r="F35" s="16">
        <f>(Inputs!$B$83+Inputs!$B$84)*Inputs!$B$89/12</f>
        <v/>
      </c>
      <c r="G35" s="16">
        <f>(Inputs!$B$83+Inputs!$B$84)*Inputs!$B$89/12</f>
        <v/>
      </c>
      <c r="H35" s="16">
        <f>(Inputs!$B$83+Inputs!$B$84)*Inputs!$B$89/12</f>
        <v/>
      </c>
      <c r="I35" s="16">
        <f>(Inputs!$B$83+Inputs!$B$84)*Inputs!$B$89/12</f>
        <v/>
      </c>
      <c r="J35" s="16">
        <f>(Inputs!$B$83+Inputs!$B$84)*Inputs!$B$89/12</f>
        <v/>
      </c>
      <c r="K35" s="16">
        <f>(Inputs!$B$83+Inputs!$B$84)*Inputs!$B$89/12</f>
        <v/>
      </c>
      <c r="L35" s="16">
        <f>(Inputs!$B$83+Inputs!$B$84)*Inputs!$B$89/12</f>
        <v/>
      </c>
      <c r="M35" s="16">
        <f>(Inputs!$B$83+Inputs!$B$84)*Inputs!$B$89/12</f>
        <v/>
      </c>
      <c r="N35" s="16">
        <f>SUM(B35:M35)</f>
        <v/>
      </c>
    </row>
    <row r="36">
      <c r="A36" s="9" t="inlineStr">
        <is>
          <t xml:space="preserve">  Interest — line of credit</t>
        </is>
      </c>
      <c r="B36" s="16">
        <f>Inputs!$B$91*Inputs!$B$88/12</f>
        <v/>
      </c>
      <c r="C36" s="16">
        <f>Inputs!$B$91*Inputs!$B$88/12</f>
        <v/>
      </c>
      <c r="D36" s="16">
        <f>Inputs!$B$91*Inputs!$B$88/12</f>
        <v/>
      </c>
      <c r="E36" s="16">
        <f>Inputs!$B$91*Inputs!$B$88/12</f>
        <v/>
      </c>
      <c r="F36" s="16">
        <f>Inputs!$B$91*Inputs!$B$88/12</f>
        <v/>
      </c>
      <c r="G36" s="16">
        <f>Inputs!$B$91*Inputs!$B$88/12</f>
        <v/>
      </c>
      <c r="H36" s="16">
        <f>Inputs!$B$91*Inputs!$B$88/12</f>
        <v/>
      </c>
      <c r="I36" s="16">
        <f>Inputs!$B$91*Inputs!$B$88/12</f>
        <v/>
      </c>
      <c r="J36" s="16">
        <f>Inputs!$B$91*Inputs!$B$88/12</f>
        <v/>
      </c>
      <c r="K36" s="16">
        <f>Inputs!$B$91*Inputs!$B$88/12</f>
        <v/>
      </c>
      <c r="L36" s="16">
        <f>Inputs!$B$91*Inputs!$B$88/12</f>
        <v/>
      </c>
      <c r="M36" s="16">
        <f>Inputs!$B$91*Inputs!$B$88/12</f>
        <v/>
      </c>
      <c r="N36" s="16">
        <f>SUM(B36:M36)</f>
        <v/>
      </c>
    </row>
    <row r="38">
      <c r="A38" s="22" t="inlineStr">
        <is>
          <t>Net income (pre-tax)</t>
        </is>
      </c>
      <c r="B38" s="18">
        <f>B30-B34-B35-B36</f>
        <v/>
      </c>
      <c r="C38" s="18">
        <f>C30-C34-C35-C36</f>
        <v/>
      </c>
      <c r="D38" s="18">
        <f>D30-D34-D35-D36</f>
        <v/>
      </c>
      <c r="E38" s="18">
        <f>E30-E34-E35-E36</f>
        <v/>
      </c>
      <c r="F38" s="18">
        <f>F30-F34-F35-F36</f>
        <v/>
      </c>
      <c r="G38" s="18">
        <f>G30-G34-G35-G36</f>
        <v/>
      </c>
      <c r="H38" s="18">
        <f>H30-H34-H35-H36</f>
        <v/>
      </c>
      <c r="I38" s="18">
        <f>I30-I34-I35-I36</f>
        <v/>
      </c>
      <c r="J38" s="18">
        <f>J30-J34-J35-J36</f>
        <v/>
      </c>
      <c r="K38" s="18">
        <f>K30-K34-K35-K36</f>
        <v/>
      </c>
      <c r="L38" s="18">
        <f>L30-L34-L35-L36</f>
        <v/>
      </c>
      <c r="M38" s="18">
        <f>M30-M34-M35-M36</f>
        <v/>
      </c>
      <c r="N38" s="18">
        <f>N30-N34-N35-N36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55555"/>
    <outlinePr summaryBelow="1" summaryRight="1"/>
    <pageSetUpPr/>
  </sheetPr>
  <dimension ref="A1:P2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3" customWidth="1" min="17" max="17"/>
  </cols>
  <sheetData>
    <row r="1" ht="22" customHeight="1">
      <c r="B1" s="27" t="inlineStr">
        <is>
          <t>BASE CASE</t>
        </is>
      </c>
      <c r="G1" s="28" t="inlineStr">
        <is>
          <t>DOWNSIDE</t>
        </is>
      </c>
      <c r="L1" s="29" t="inlineStr">
        <is>
          <t>STRESS</t>
        </is>
      </c>
    </row>
    <row r="2" ht="22" customHeight="1">
      <c r="A2" s="27" t="inlineStr">
        <is>
          <t>Annual P&amp;L</t>
        </is>
      </c>
      <c r="B2" s="27" t="inlineStr">
        <is>
          <t>Y1</t>
        </is>
      </c>
      <c r="C2" s="27" t="inlineStr">
        <is>
          <t>Y2</t>
        </is>
      </c>
      <c r="D2" s="27" t="inlineStr">
        <is>
          <t>Y3</t>
        </is>
      </c>
      <c r="E2" s="27" t="inlineStr">
        <is>
          <t>Y4</t>
        </is>
      </c>
      <c r="F2" s="27" t="inlineStr">
        <is>
          <t>Y5</t>
        </is>
      </c>
      <c r="G2" s="28" t="inlineStr">
        <is>
          <t>Y1</t>
        </is>
      </c>
      <c r="H2" s="28" t="inlineStr">
        <is>
          <t>Y2</t>
        </is>
      </c>
      <c r="I2" s="28" t="inlineStr">
        <is>
          <t>Y3</t>
        </is>
      </c>
      <c r="J2" s="28" t="inlineStr">
        <is>
          <t>Y4</t>
        </is>
      </c>
      <c r="K2" s="28" t="inlineStr">
        <is>
          <t>Y5</t>
        </is>
      </c>
      <c r="L2" s="29" t="inlineStr">
        <is>
          <t>Y1</t>
        </is>
      </c>
      <c r="M2" s="29" t="inlineStr">
        <is>
          <t>Y2</t>
        </is>
      </c>
      <c r="N2" s="29" t="inlineStr">
        <is>
          <t>Y3</t>
        </is>
      </c>
      <c r="O2" s="29" t="inlineStr">
        <is>
          <t>Y4</t>
        </is>
      </c>
      <c r="P2" s="29" t="inlineStr">
        <is>
          <t>Y5</t>
        </is>
      </c>
    </row>
    <row r="4" ht="22" customHeight="1">
      <c r="A4" s="7" t="inlineStr">
        <is>
          <t>Revenue</t>
        </is>
      </c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</row>
    <row r="5">
      <c r="A5" s="9" t="inlineStr">
        <is>
          <t xml:space="preserve">  Phase 1 produce-box revenue (base)</t>
        </is>
      </c>
      <c r="B5" s="26">
        <f>'Phase 1 Revenue'!N9</f>
        <v/>
      </c>
      <c r="C5" s="16">
        <f>Inputs!$B$54*Inputs!$B$11*Inputs!$B$9*12*(1+Inputs!$B$13)</f>
        <v/>
      </c>
      <c r="D5" s="16">
        <f>Inputs!$B$55*Inputs!$B$11*Inputs!$B$9*12*(1+Inputs!$B$13)</f>
        <v/>
      </c>
      <c r="E5" s="16">
        <f>Inputs!$B$56*Inputs!$B$11*Inputs!$B$9*12*(1+Inputs!$B$13)</f>
        <v/>
      </c>
      <c r="F5" s="16">
        <f>Inputs!$B$57*Inputs!$B$11*Inputs!$B$9*12*(1+Inputs!$B$13)</f>
        <v/>
      </c>
    </row>
    <row r="6">
      <c r="A6" s="9" t="inlineStr">
        <is>
          <t xml:space="preserve">  Phase 2 retail revenue (base)</t>
        </is>
      </c>
      <c r="B6" s="26">
        <f>'Phase 2 Revenue'!N2</f>
        <v/>
      </c>
      <c r="C6" s="16">
        <f>'Phase 2 Revenue'!M2*12*(1+Inputs!$B$50)</f>
        <v/>
      </c>
      <c r="D6" s="16">
        <f>C6*(1+Inputs!$B$51)</f>
        <v/>
      </c>
      <c r="E6" s="16">
        <f>D6*(1+Inputs!$B$52)</f>
        <v/>
      </c>
      <c r="F6" s="16">
        <f>E6*(1+Inputs!$B$53)</f>
        <v/>
      </c>
    </row>
    <row r="7">
      <c r="A7" s="22" t="inlineStr">
        <is>
          <t>Total revenue (base)</t>
        </is>
      </c>
      <c r="B7" s="18">
        <f>B5+B6</f>
        <v/>
      </c>
      <c r="C7" s="18">
        <f>C5+C6</f>
        <v/>
      </c>
      <c r="D7" s="18">
        <f>D5+D6</f>
        <v/>
      </c>
      <c r="E7" s="18">
        <f>E5+E6</f>
        <v/>
      </c>
      <c r="F7" s="18">
        <f>F5+F6</f>
        <v/>
      </c>
      <c r="G7" s="18">
        <f>B7*0.85</f>
        <v/>
      </c>
      <c r="H7" s="18">
        <f>C7*0.85</f>
        <v/>
      </c>
      <c r="I7" s="18">
        <f>D7*0.85</f>
        <v/>
      </c>
      <c r="J7" s="18">
        <f>E7*0.85</f>
        <v/>
      </c>
      <c r="K7" s="18">
        <f>F7*0.85</f>
        <v/>
      </c>
      <c r="L7" s="18">
        <f>B7*0.70</f>
        <v/>
      </c>
      <c r="M7" s="18">
        <f>C7*0.70</f>
        <v/>
      </c>
      <c r="N7" s="18">
        <f>D7*0.70</f>
        <v/>
      </c>
      <c r="O7" s="18">
        <f>E7*0.70</f>
        <v/>
      </c>
      <c r="P7" s="18">
        <f>F7*0.70</f>
        <v/>
      </c>
    </row>
    <row r="9" ht="22" customHeight="1">
      <c r="A9" s="7" t="inlineStr">
        <is>
          <t>Gross margin %</t>
        </is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</row>
    <row r="10">
      <c r="A10" s="9" t="inlineStr">
        <is>
          <t>Blended GM %</t>
        </is>
      </c>
      <c r="B10" s="30">
        <f>'P&amp;L Monthly Y1'!N12</f>
        <v/>
      </c>
      <c r="C10" s="14" t="n">
        <v>0.33</v>
      </c>
      <c r="D10" s="14" t="n">
        <v>0.35</v>
      </c>
      <c r="E10" s="14" t="n">
        <v>0.36</v>
      </c>
      <c r="F10" s="14" t="n">
        <v>0.37</v>
      </c>
      <c r="G10" s="25">
        <f>B10-0.03</f>
        <v/>
      </c>
      <c r="H10" s="25">
        <f>C10-0.03</f>
        <v/>
      </c>
      <c r="I10" s="25">
        <f>D10-0.03</f>
        <v/>
      </c>
      <c r="J10" s="25">
        <f>E10-0.03</f>
        <v/>
      </c>
      <c r="K10" s="25">
        <f>F10-0.03</f>
        <v/>
      </c>
      <c r="L10" s="25">
        <f>B10-0.05</f>
        <v/>
      </c>
      <c r="M10" s="25">
        <f>C10-0.05</f>
        <v/>
      </c>
      <c r="N10" s="25">
        <f>D10-0.05</f>
        <v/>
      </c>
      <c r="O10" s="25">
        <f>E10-0.05</f>
        <v/>
      </c>
      <c r="P10" s="25">
        <f>F10-0.05</f>
        <v/>
      </c>
    </row>
    <row r="11">
      <c r="A11" s="9" t="inlineStr">
        <is>
          <t xml:space="preserve">  COGS</t>
        </is>
      </c>
      <c r="B11" s="16">
        <f>B7*(1-B10)</f>
        <v/>
      </c>
      <c r="C11" s="16">
        <f>C7*(1-C10)</f>
        <v/>
      </c>
      <c r="D11" s="16">
        <f>D7*(1-D10)</f>
        <v/>
      </c>
      <c r="E11" s="16">
        <f>E7*(1-E10)</f>
        <v/>
      </c>
      <c r="F11" s="16">
        <f>F7*(1-F10)</f>
        <v/>
      </c>
      <c r="G11" s="16">
        <f>G7*(1-G10)</f>
        <v/>
      </c>
      <c r="H11" s="16">
        <f>H7*(1-H10)</f>
        <v/>
      </c>
      <c r="I11" s="16">
        <f>I7*(1-I10)</f>
        <v/>
      </c>
      <c r="J11" s="16">
        <f>J7*(1-J10)</f>
        <v/>
      </c>
      <c r="K11" s="16">
        <f>K7*(1-K10)</f>
        <v/>
      </c>
      <c r="L11" s="16">
        <f>L7*(1-L10)</f>
        <v/>
      </c>
      <c r="M11" s="16">
        <f>M7*(1-M10)</f>
        <v/>
      </c>
      <c r="N11" s="16">
        <f>N7*(1-N10)</f>
        <v/>
      </c>
      <c r="O11" s="16">
        <f>O7*(1-O10)</f>
        <v/>
      </c>
      <c r="P11" s="16">
        <f>P7*(1-P10)</f>
        <v/>
      </c>
    </row>
    <row r="12">
      <c r="A12" s="22" t="inlineStr">
        <is>
          <t>Gross profit</t>
        </is>
      </c>
      <c r="B12" s="18">
        <f>B7-B11</f>
        <v/>
      </c>
      <c r="C12" s="18">
        <f>C7-C11</f>
        <v/>
      </c>
      <c r="D12" s="18">
        <f>D7-D11</f>
        <v/>
      </c>
      <c r="E12" s="18">
        <f>E7-E11</f>
        <v/>
      </c>
      <c r="F12" s="18">
        <f>F7-F11</f>
        <v/>
      </c>
      <c r="G12" s="18">
        <f>G7-G11</f>
        <v/>
      </c>
      <c r="H12" s="18">
        <f>H7-H11</f>
        <v/>
      </c>
      <c r="I12" s="18">
        <f>I7-I11</f>
        <v/>
      </c>
      <c r="J12" s="18">
        <f>J7-J11</f>
        <v/>
      </c>
      <c r="K12" s="18">
        <f>K7-K11</f>
        <v/>
      </c>
      <c r="L12" s="18">
        <f>L7-L11</f>
        <v/>
      </c>
      <c r="M12" s="18">
        <f>M7-M11</f>
        <v/>
      </c>
      <c r="N12" s="18">
        <f>N7-N11</f>
        <v/>
      </c>
      <c r="O12" s="18">
        <f>O7-O11</f>
        <v/>
      </c>
      <c r="P12" s="18">
        <f>P7-P11</f>
        <v/>
      </c>
    </row>
    <row r="14" ht="22" customHeight="1">
      <c r="A14" s="7" t="inlineStr">
        <is>
          <t>Operating expenses</t>
        </is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</row>
    <row r="15">
      <c r="A15" s="9" t="inlineStr">
        <is>
          <t xml:space="preserve">  Labor (loaded, post-grant Y1)</t>
        </is>
      </c>
      <c r="B15" s="26">
        <f>'P&amp;L Monthly Y1'!N17</f>
        <v/>
      </c>
      <c r="C15" s="16">
        <f>Inputs!$B$65*Inputs!$B$59*Inputs!$B$60*12</f>
        <v/>
      </c>
      <c r="D15" s="16">
        <f>Inputs!$B$66*Inputs!$B$59*Inputs!$B$60*12</f>
        <v/>
      </c>
      <c r="E15" s="16">
        <f>Inputs!$B$67*Inputs!$B$59*Inputs!$B$60*12</f>
        <v/>
      </c>
      <c r="F15" s="16">
        <f>Inputs!$B$68*Inputs!$B$59*Inputs!$B$60*12</f>
        <v/>
      </c>
      <c r="G15" s="16">
        <f>B15</f>
        <v/>
      </c>
      <c r="H15" s="16">
        <f>C15</f>
        <v/>
      </c>
      <c r="I15" s="16">
        <f>D15</f>
        <v/>
      </c>
      <c r="J15" s="16">
        <f>E15</f>
        <v/>
      </c>
      <c r="K15" s="16">
        <f>F15</f>
        <v/>
      </c>
      <c r="L15" s="16">
        <f>B15+L7*0.02</f>
        <v/>
      </c>
      <c r="M15" s="16">
        <f>C15+M7*0.02</f>
        <v/>
      </c>
      <c r="N15" s="16">
        <f>D15+N7*0.02</f>
        <v/>
      </c>
      <c r="O15" s="16">
        <f>E15+O7*0.02</f>
        <v/>
      </c>
      <c r="P15" s="16">
        <f>F15+P7*0.02</f>
        <v/>
      </c>
    </row>
    <row r="16">
      <c r="A16" s="9" t="inlineStr">
        <is>
          <t xml:space="preserve">  Rent</t>
        </is>
      </c>
      <c r="B16" s="26">
        <f>'P&amp;L Monthly Y1'!N18</f>
        <v/>
      </c>
      <c r="C16" s="16">
        <f>Inputs!$B$6*Inputs!$B$3</f>
        <v/>
      </c>
      <c r="E16" s="16">
        <f>C16*1.03^(1)</f>
        <v/>
      </c>
      <c r="F16" s="16">
        <f>C16*1.03^(2)</f>
        <v/>
      </c>
      <c r="G16" s="16">
        <f>B16</f>
        <v/>
      </c>
      <c r="H16" s="16">
        <f>C16</f>
        <v/>
      </c>
      <c r="I16" s="16">
        <f>D16</f>
        <v/>
      </c>
      <c r="J16" s="16">
        <f>E16</f>
        <v/>
      </c>
      <c r="K16" s="16">
        <f>F16</f>
        <v/>
      </c>
      <c r="L16" s="16">
        <f>B16</f>
        <v/>
      </c>
      <c r="M16" s="16">
        <f>C16</f>
        <v/>
      </c>
      <c r="N16" s="16">
        <f>D16</f>
        <v/>
      </c>
      <c r="O16" s="16">
        <f>E16</f>
        <v/>
      </c>
      <c r="P16" s="16">
        <f>F16</f>
        <v/>
      </c>
    </row>
    <row r="17">
      <c r="A17" s="9" t="inlineStr">
        <is>
          <t xml:space="preserve">  Utilities, insurance, POS, supplies, prof fees, vehicle, marketing</t>
        </is>
      </c>
      <c r="B17" s="26">
        <f>'P&amp;L Monthly Y1'!N19+'P&amp;L Monthly Y1'!N20+'P&amp;L Monthly Y1'!N21+'P&amp;L Monthly Y1'!N22+'P&amp;L Monthly Y1'!N23+'P&amp;L Monthly Y1'!N24+'P&amp;L Monthly Y1'!N25+'P&amp;L Monthly Y1'!N26</f>
        <v/>
      </c>
      <c r="C17" s="16">
        <f>B17*1.04</f>
        <v/>
      </c>
      <c r="D17" s="16">
        <f>C17*1.04</f>
        <v/>
      </c>
      <c r="E17" s="16">
        <f>D17*1.04</f>
        <v/>
      </c>
      <c r="F17" s="16">
        <f>E17*1.04</f>
        <v/>
      </c>
      <c r="G17" s="16">
        <f>B17</f>
        <v/>
      </c>
      <c r="H17" s="16">
        <f>C17</f>
        <v/>
      </c>
      <c r="I17" s="16">
        <f>D17</f>
        <v/>
      </c>
      <c r="J17" s="16">
        <f>E17</f>
        <v/>
      </c>
      <c r="K17" s="16">
        <f>F17</f>
        <v/>
      </c>
      <c r="L17" s="16">
        <f>B17</f>
        <v/>
      </c>
      <c r="M17" s="16">
        <f>C17</f>
        <v/>
      </c>
      <c r="N17" s="16">
        <f>D17</f>
        <v/>
      </c>
      <c r="O17" s="16">
        <f>E17</f>
        <v/>
      </c>
      <c r="P17" s="16">
        <f>F17</f>
        <v/>
      </c>
    </row>
    <row r="18">
      <c r="A18" s="9" t="inlineStr">
        <is>
          <t xml:space="preserve">  Shrink / waste</t>
        </is>
      </c>
      <c r="B18" s="16">
        <f>B6*Inputs!$B$77</f>
        <v/>
      </c>
      <c r="C18" s="16">
        <f>C6*Inputs!$B$77</f>
        <v/>
      </c>
      <c r="D18" s="16">
        <f>D6*Inputs!$B$77</f>
        <v/>
      </c>
      <c r="E18" s="16">
        <f>E6*Inputs!$B$77</f>
        <v/>
      </c>
      <c r="F18" s="16">
        <f>F6*Inputs!$B$77</f>
        <v/>
      </c>
      <c r="G18" s="16">
        <f>G7*Inputs!$B$77*0.6</f>
        <v/>
      </c>
      <c r="H18" s="16">
        <f>H7*Inputs!$B$77*0.6</f>
        <v/>
      </c>
      <c r="I18" s="16">
        <f>I7*Inputs!$B$77*0.6</f>
        <v/>
      </c>
      <c r="J18" s="16">
        <f>J7*Inputs!$B$77*0.6</f>
        <v/>
      </c>
      <c r="K18" s="16">
        <f>K7*Inputs!$B$77*0.6</f>
        <v/>
      </c>
      <c r="L18" s="16">
        <f>L7*(Inputs!$B$77+0.01)</f>
        <v/>
      </c>
      <c r="M18" s="16">
        <f>M7*(Inputs!$B$77+0.01)</f>
        <v/>
      </c>
      <c r="N18" s="16">
        <f>N7*(Inputs!$B$77+0.01)</f>
        <v/>
      </c>
      <c r="O18" s="16">
        <f>O7*(Inputs!$B$77+0.01)</f>
        <v/>
      </c>
      <c r="P18" s="16">
        <f>P7*(Inputs!$B$77+0.01)</f>
        <v/>
      </c>
    </row>
    <row r="19">
      <c r="A19" s="22" t="inlineStr">
        <is>
          <t>Total opex</t>
        </is>
      </c>
      <c r="B19" s="18">
        <f>B15+B16+B17+B18</f>
        <v/>
      </c>
      <c r="C19" s="18">
        <f>C15+C16+C17+C18</f>
        <v/>
      </c>
      <c r="D19" s="18">
        <f>D15+D16+D17+D18</f>
        <v/>
      </c>
      <c r="E19" s="18">
        <f>E15+E16+E17+E18</f>
        <v/>
      </c>
      <c r="F19" s="18">
        <f>F15+F16+F17+F18</f>
        <v/>
      </c>
      <c r="G19" s="18">
        <f>G15+G16+G17+G18</f>
        <v/>
      </c>
      <c r="H19" s="18">
        <f>H15+H16+H17+H18</f>
        <v/>
      </c>
      <c r="I19" s="18">
        <f>I15+I16+I17+I18</f>
        <v/>
      </c>
      <c r="J19" s="18">
        <f>J15+J16+J17+J18</f>
        <v/>
      </c>
      <c r="K19" s="18">
        <f>K15+K16+K17+K18</f>
        <v/>
      </c>
      <c r="L19" s="18">
        <f>L15+L16+L17+L18</f>
        <v/>
      </c>
      <c r="M19" s="18">
        <f>M15+M16+M17+M18</f>
        <v/>
      </c>
      <c r="N19" s="18">
        <f>N15+N16+N17+N18</f>
        <v/>
      </c>
      <c r="O19" s="18">
        <f>O15+O16+O17+O18</f>
        <v/>
      </c>
      <c r="P19" s="18">
        <f>P15+P16+P17+P18</f>
        <v/>
      </c>
    </row>
    <row r="21">
      <c r="A21" s="22" t="inlineStr">
        <is>
          <t>EBITDA</t>
        </is>
      </c>
      <c r="B21" s="18">
        <f>B12-B19</f>
        <v/>
      </c>
      <c r="C21" s="18">
        <f>C12-C19</f>
        <v/>
      </c>
      <c r="D21" s="18">
        <f>D12-D19</f>
        <v/>
      </c>
      <c r="E21" s="18">
        <f>E12-E19</f>
        <v/>
      </c>
      <c r="F21" s="18">
        <f>F12-F19</f>
        <v/>
      </c>
      <c r="G21" s="18">
        <f>G12-G19</f>
        <v/>
      </c>
      <c r="H21" s="18">
        <f>H12-H19</f>
        <v/>
      </c>
      <c r="I21" s="18">
        <f>I12-I19</f>
        <v/>
      </c>
      <c r="J21" s="18">
        <f>J12-J19</f>
        <v/>
      </c>
      <c r="K21" s="18">
        <f>K12-K19</f>
        <v/>
      </c>
      <c r="L21" s="18">
        <f>L12-L19</f>
        <v/>
      </c>
      <c r="M21" s="18">
        <f>M12-M19</f>
        <v/>
      </c>
      <c r="N21" s="18">
        <f>N12-N19</f>
        <v/>
      </c>
      <c r="O21" s="18">
        <f>O12-O19</f>
        <v/>
      </c>
      <c r="P21" s="18">
        <f>P12-P19</f>
        <v/>
      </c>
    </row>
    <row r="22">
      <c r="A22" s="9" t="inlineStr">
        <is>
          <t xml:space="preserve">  EBITDA margin %</t>
        </is>
      </c>
      <c r="B22" s="25">
        <f>IFERROR(B21/B7,0)</f>
        <v/>
      </c>
      <c r="C22" s="25">
        <f>IFERROR(C21/C7,0)</f>
        <v/>
      </c>
      <c r="D22" s="25">
        <f>IFERROR(D21/D7,0)</f>
        <v/>
      </c>
      <c r="E22" s="25">
        <f>IFERROR(E21/E7,0)</f>
        <v/>
      </c>
      <c r="F22" s="25">
        <f>IFERROR(F21/F7,0)</f>
        <v/>
      </c>
      <c r="G22" s="25">
        <f>IFERROR(G21/G7,0)</f>
        <v/>
      </c>
      <c r="H22" s="25">
        <f>IFERROR(H21/H7,0)</f>
        <v/>
      </c>
      <c r="I22" s="25">
        <f>IFERROR(I21/I7,0)</f>
        <v/>
      </c>
      <c r="J22" s="25">
        <f>IFERROR(J21/J7,0)</f>
        <v/>
      </c>
      <c r="K22" s="25">
        <f>IFERROR(K21/K7,0)</f>
        <v/>
      </c>
      <c r="L22" s="25">
        <f>IFERROR(L21/L7,0)</f>
        <v/>
      </c>
      <c r="M22" s="25">
        <f>IFERROR(M21/M7,0)</f>
        <v/>
      </c>
      <c r="N22" s="25">
        <f>IFERROR(N21/N7,0)</f>
        <v/>
      </c>
      <c r="O22" s="25">
        <f>IFERROR(O21/O7,0)</f>
        <v/>
      </c>
      <c r="P22" s="25">
        <f>IFERROR(P21/P7,0)</f>
        <v/>
      </c>
    </row>
    <row r="24" ht="22" customHeight="1">
      <c r="A24" s="7" t="inlineStr">
        <is>
          <t>Debt service &amp; coverage</t>
        </is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</row>
    <row r="25">
      <c r="A25" s="9" t="inlineStr">
        <is>
          <t xml:space="preserve">  Term debt service (P+I)</t>
        </is>
      </c>
      <c r="B25" s="16">
        <f>PMT(Inputs!$B$89,Inputs!$B$90,-(Inputs!$B$83+Inputs!$B$84))</f>
        <v/>
      </c>
      <c r="C25" s="16">
        <f>PMT(Inputs!$B$89,Inputs!$B$90,-(Inputs!$B$83+Inputs!$B$84))</f>
        <v/>
      </c>
      <c r="D25" s="16">
        <f>PMT(Inputs!$B$89,Inputs!$B$90,-(Inputs!$B$83+Inputs!$B$84))</f>
        <v/>
      </c>
      <c r="E25" s="16">
        <f>PMT(Inputs!$B$89,Inputs!$B$90,-(Inputs!$B$83+Inputs!$B$84))</f>
        <v/>
      </c>
      <c r="F25" s="16">
        <f>PMT(Inputs!$B$89,Inputs!$B$90,-(Inputs!$B$83+Inputs!$B$84))</f>
        <v/>
      </c>
      <c r="G25" s="16">
        <f>B25</f>
        <v/>
      </c>
      <c r="H25" s="16">
        <f>C25</f>
        <v/>
      </c>
      <c r="I25" s="16">
        <f>D25</f>
        <v/>
      </c>
      <c r="J25" s="16">
        <f>E25</f>
        <v/>
      </c>
      <c r="K25" s="16">
        <f>F25</f>
        <v/>
      </c>
      <c r="L25" s="16">
        <f>B25</f>
        <v/>
      </c>
      <c r="M25" s="16">
        <f>C25</f>
        <v/>
      </c>
      <c r="N25" s="16">
        <f>D25</f>
        <v/>
      </c>
      <c r="O25" s="16">
        <f>E25</f>
        <v/>
      </c>
      <c r="P25" s="16">
        <f>F25</f>
        <v/>
      </c>
    </row>
    <row r="26">
      <c r="A26" s="9" t="inlineStr">
        <is>
          <t xml:space="preserve">  LoC interest</t>
        </is>
      </c>
      <c r="B26" s="16">
        <f>Inputs!$B$91*Inputs!$B$88</f>
        <v/>
      </c>
      <c r="C26" s="16">
        <f>Inputs!$B$92*Inputs!$B$88</f>
        <v/>
      </c>
      <c r="D26" s="16">
        <f>Inputs!$B$92*Inputs!$B$88</f>
        <v/>
      </c>
      <c r="E26" s="16">
        <f>Inputs!$B$92*Inputs!$B$88</f>
        <v/>
      </c>
      <c r="F26" s="16">
        <f>Inputs!$B$92*Inputs!$B$88</f>
        <v/>
      </c>
      <c r="G26" s="16">
        <f>B26</f>
        <v/>
      </c>
      <c r="H26" s="16">
        <f>C26</f>
        <v/>
      </c>
      <c r="I26" s="16">
        <f>D26</f>
        <v/>
      </c>
      <c r="J26" s="16">
        <f>E26</f>
        <v/>
      </c>
      <c r="K26" s="16">
        <f>F26</f>
        <v/>
      </c>
      <c r="L26" s="16">
        <f>B26</f>
        <v/>
      </c>
      <c r="M26" s="16">
        <f>C26</f>
        <v/>
      </c>
      <c r="N26" s="16">
        <f>D26</f>
        <v/>
      </c>
      <c r="O26" s="16">
        <f>E26</f>
        <v/>
      </c>
      <c r="P26" s="16">
        <f>F26</f>
        <v/>
      </c>
    </row>
    <row r="27">
      <c r="A27" s="22" t="inlineStr">
        <is>
          <t>Total debt service</t>
        </is>
      </c>
      <c r="B27" s="18">
        <f>B25+B26</f>
        <v/>
      </c>
      <c r="C27" s="18">
        <f>C25+C26</f>
        <v/>
      </c>
      <c r="D27" s="18">
        <f>D25+D26</f>
        <v/>
      </c>
      <c r="E27" s="18">
        <f>E25+E26</f>
        <v/>
      </c>
      <c r="F27" s="18">
        <f>F25+F26</f>
        <v/>
      </c>
      <c r="G27" s="18">
        <f>G25+G26</f>
        <v/>
      </c>
      <c r="H27" s="18">
        <f>H25+H26</f>
        <v/>
      </c>
      <c r="I27" s="18">
        <f>I25+I26</f>
        <v/>
      </c>
      <c r="J27" s="18">
        <f>J25+J26</f>
        <v/>
      </c>
      <c r="K27" s="18">
        <f>K25+K26</f>
        <v/>
      </c>
      <c r="L27" s="18">
        <f>L25+L26</f>
        <v/>
      </c>
      <c r="M27" s="18">
        <f>M25+M26</f>
        <v/>
      </c>
      <c r="N27" s="18">
        <f>N25+N26</f>
        <v/>
      </c>
      <c r="O27" s="18">
        <f>O25+O26</f>
        <v/>
      </c>
      <c r="P27" s="18">
        <f>P25+P26</f>
        <v/>
      </c>
    </row>
    <row r="28">
      <c r="A28" s="22" t="inlineStr">
        <is>
          <t>DSCR (EBITDA / debt service)</t>
        </is>
      </c>
      <c r="B28" s="31">
        <f>IFERROR(B21/B27,0)</f>
        <v/>
      </c>
      <c r="C28" s="31">
        <f>IFERROR(C21/C27,0)</f>
        <v/>
      </c>
      <c r="D28" s="31">
        <f>IFERROR(D21/D27,0)</f>
        <v/>
      </c>
      <c r="E28" s="31">
        <f>IFERROR(E21/E27,0)</f>
        <v/>
      </c>
      <c r="F28" s="31">
        <f>IFERROR(F21/F27,0)</f>
        <v/>
      </c>
      <c r="G28" s="31">
        <f>IFERROR(G21/G27,0)</f>
        <v/>
      </c>
      <c r="H28" s="31">
        <f>IFERROR(H21/H27,0)</f>
        <v/>
      </c>
      <c r="I28" s="31">
        <f>IFERROR(I21/I27,0)</f>
        <v/>
      </c>
      <c r="J28" s="31">
        <f>IFERROR(J21/J27,0)</f>
        <v/>
      </c>
      <c r="K28" s="31">
        <f>IFERROR(K21/K27,0)</f>
        <v/>
      </c>
      <c r="L28" s="31">
        <f>IFERROR(L21/L27,0)</f>
        <v/>
      </c>
      <c r="M28" s="31">
        <f>IFERROR(M21/M27,0)</f>
        <v/>
      </c>
      <c r="N28" s="31">
        <f>IFERROR(N21/N27,0)</f>
        <v/>
      </c>
      <c r="O28" s="31">
        <f>IFERROR(O21/O27,0)</f>
        <v/>
      </c>
      <c r="P28" s="31">
        <f>IFERROR(P21/P27,0)</f>
        <v/>
      </c>
    </row>
  </sheetData>
  <mergeCells count="3">
    <mergeCell ref="L1:P1"/>
    <mergeCell ref="B1:F1"/>
    <mergeCell ref="G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55555"/>
    <outlinePr summaryBelow="1" summaryRight="1"/>
    <pageSetUpPr/>
  </sheetPr>
  <dimension ref="A1:F1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30" customHeight="1">
      <c r="A1" s="6" t="inlineStr">
        <is>
          <t>Working Capital &amp; Cash Conversion Cycle</t>
        </is>
      </c>
      <c r="B1" s="6" t="inlineStr">
        <is>
          <t>Y1</t>
        </is>
      </c>
      <c r="C1" s="6" t="inlineStr">
        <is>
          <t>Y2</t>
        </is>
      </c>
      <c r="D1" s="6" t="inlineStr">
        <is>
          <t>Y3</t>
        </is>
      </c>
      <c r="E1" s="6" t="inlineStr">
        <is>
          <t>Y4</t>
        </is>
      </c>
      <c r="F1" s="6" t="inlineStr">
        <is>
          <t>Y5</t>
        </is>
      </c>
    </row>
    <row r="3">
      <c r="A3" s="32" t="inlineStr">
        <is>
          <t>Total revenue</t>
        </is>
      </c>
      <c r="B3" s="26">
        <f>'P&amp;L Annual'!B7</f>
        <v/>
      </c>
      <c r="C3" s="26">
        <f>'P&amp;L Annual'!C7</f>
        <v/>
      </c>
      <c r="D3" s="26">
        <f>'P&amp;L Annual'!D7</f>
        <v/>
      </c>
      <c r="E3" s="26">
        <f>'P&amp;L Annual'!E7</f>
        <v/>
      </c>
      <c r="F3" s="26">
        <f>'P&amp;L Annual'!F7</f>
        <v/>
      </c>
    </row>
    <row r="4">
      <c r="A4" s="9" t="inlineStr">
        <is>
          <t>Total COGS</t>
        </is>
      </c>
      <c r="B4" s="26">
        <f>'P&amp;L Annual'!B11</f>
        <v/>
      </c>
      <c r="C4" s="26">
        <f>'P&amp;L Annual'!C11</f>
        <v/>
      </c>
      <c r="D4" s="26">
        <f>'P&amp;L Annual'!D11</f>
        <v/>
      </c>
      <c r="E4" s="26">
        <f>'P&amp;L Annual'!E11</f>
        <v/>
      </c>
      <c r="F4" s="26">
        <f>'P&amp;L Annual'!F11</f>
        <v/>
      </c>
    </row>
    <row r="6" ht="22" customHeight="1">
      <c r="A6" s="7" t="inlineStr">
        <is>
          <t>Working capital balances (period-end)</t>
        </is>
      </c>
      <c r="B6" s="8" t="n"/>
      <c r="C6" s="8" t="n"/>
      <c r="D6" s="8" t="n"/>
      <c r="E6" s="8" t="n"/>
      <c r="F6" s="8" t="n"/>
    </row>
    <row r="7">
      <c r="A7" s="9" t="inlineStr">
        <is>
          <t>Inventory (DIO * COGS / 365)</t>
        </is>
      </c>
      <c r="B7" s="16">
        <f>B4*Inputs!$B$94/365</f>
        <v/>
      </c>
      <c r="C7" s="16">
        <f>C4*Inputs!$B$95/365</f>
        <v/>
      </c>
      <c r="D7" s="16">
        <f>D4*Inputs!$B$95/365</f>
        <v/>
      </c>
      <c r="E7" s="16">
        <f>E4*Inputs!$B$95/365</f>
        <v/>
      </c>
      <c r="F7" s="16">
        <f>F4*Inputs!$B$95/365</f>
        <v/>
      </c>
    </row>
    <row r="8">
      <c r="A8" s="9" t="inlineStr">
        <is>
          <t>Accounts payable (DPO * COGS / 365)</t>
        </is>
      </c>
      <c r="B8" s="16">
        <f>B4*Inputs!$B$96/365</f>
        <v/>
      </c>
      <c r="C8" s="16">
        <f>C4*Inputs!$B$97/365</f>
        <v/>
      </c>
      <c r="D8" s="16">
        <f>D4*Inputs!$B$97/365</f>
        <v/>
      </c>
      <c r="E8" s="16">
        <f>E4*Inputs!$B$97/365</f>
        <v/>
      </c>
      <c r="F8" s="16">
        <f>F4*Inputs!$B$97/365</f>
        <v/>
      </c>
    </row>
    <row r="9">
      <c r="A9" s="9" t="inlineStr">
        <is>
          <t>Accounts receivable (DSO * revenue / 365)</t>
        </is>
      </c>
      <c r="B9" s="16">
        <f>B3*Inputs!$B$98/365</f>
        <v/>
      </c>
      <c r="C9" s="16">
        <f>C3*Inputs!$B$98/365</f>
        <v/>
      </c>
      <c r="D9" s="16">
        <f>D3*Inputs!$B$98/365</f>
        <v/>
      </c>
      <c r="E9" s="16">
        <f>E3*Inputs!$B$98/365</f>
        <v/>
      </c>
      <c r="F9" s="16">
        <f>F3*Inputs!$B$98/365</f>
        <v/>
      </c>
    </row>
    <row r="10">
      <c r="A10" s="22" t="inlineStr">
        <is>
          <t>Net working capital</t>
        </is>
      </c>
      <c r="B10" s="18">
        <f>B7-B8+B9</f>
        <v/>
      </c>
      <c r="C10" s="18">
        <f>C7-C8+C9</f>
        <v/>
      </c>
      <c r="D10" s="18">
        <f>D7-D8+D9</f>
        <v/>
      </c>
      <c r="E10" s="18">
        <f>E7-E8+E9</f>
        <v/>
      </c>
      <c r="F10" s="18">
        <f>F7-F8+F9</f>
        <v/>
      </c>
    </row>
    <row r="12">
      <c r="A12" s="22" t="inlineStr">
        <is>
          <t>Cash conversion cycle (DIO + DSO - DPO), days</t>
        </is>
      </c>
      <c r="B12" s="33">
        <f>Inputs!$B$94+Inputs!$B$98-Inputs!$B$96</f>
        <v/>
      </c>
      <c r="C12" s="33">
        <f>Inputs!$B$95+Inputs!$B$98-Inputs!$B$97</f>
        <v/>
      </c>
      <c r="D12" s="33">
        <f>Inputs!$B$95+Inputs!$B$98-Inputs!$B$97</f>
        <v/>
      </c>
      <c r="E12" s="33">
        <f>Inputs!$B$95+Inputs!$B$98-Inputs!$B$97</f>
        <v/>
      </c>
      <c r="F12" s="33">
        <f>Inputs!$B$95+Inputs!$B$98-Inputs!$B$97</f>
        <v/>
      </c>
    </row>
    <row r="13">
      <c r="A13" s="9" t="inlineStr">
        <is>
          <t>Change in NWC (cash impact)</t>
        </is>
      </c>
      <c r="B13" s="26">
        <f>B10-Inputs!$B$99</f>
        <v/>
      </c>
      <c r="C13" s="16">
        <f>C10-B10</f>
        <v/>
      </c>
      <c r="D13" s="16">
        <f>D10-C10</f>
        <v/>
      </c>
      <c r="E13" s="16">
        <f>E10-D10</f>
        <v/>
      </c>
      <c r="F13" s="16">
        <f>F10-E10</f>
        <v/>
      </c>
    </row>
    <row r="15" ht="22" customHeight="1">
      <c r="A15" s="7" t="inlineStr">
        <is>
          <t>Reserve and liquidity coverage</t>
        </is>
      </c>
      <c r="B15" s="8" t="n"/>
      <c r="C15" s="8" t="n"/>
      <c r="D15" s="8" t="n"/>
      <c r="E15" s="8" t="n"/>
      <c r="F15" s="8" t="n"/>
    </row>
    <row r="16">
      <c r="A16" s="32" t="inlineStr">
        <is>
          <t>Operating reserve at close</t>
        </is>
      </c>
      <c r="B16" s="20">
        <f>Inputs!$B$86</f>
        <v/>
      </c>
    </row>
    <row r="17">
      <c r="A17" s="9" t="inlineStr">
        <is>
          <t xml:space="preserve">  Months of opex covered (Y2 stabilized)</t>
        </is>
      </c>
      <c r="B17" s="34">
        <f>B16/('P&amp;L Annual'!C19/12)</f>
        <v/>
      </c>
    </row>
    <row r="18">
      <c r="A18" s="9" t="inlineStr">
        <is>
          <t>LoC facility size</t>
        </is>
      </c>
      <c r="B18" s="16">
        <f>Inputs!$B$87</f>
        <v/>
      </c>
    </row>
    <row r="19">
      <c r="A19" s="9" t="inlineStr">
        <is>
          <t xml:space="preserve">  Days of COGS covered by LoC</t>
        </is>
      </c>
      <c r="B19" s="35">
        <f>B18/(C4/365)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55555"/>
    <outlinePr summaryBelow="1" summaryRight="1"/>
    <pageSetUpPr/>
  </sheetPr>
  <dimension ref="A1:F1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30" customHeight="1">
      <c r="A1" s="6" t="inlineStr">
        <is>
          <t>Debt Schedule &amp; Coverage</t>
        </is>
      </c>
      <c r="B1" s="6" t="inlineStr">
        <is>
          <t>Y1</t>
        </is>
      </c>
      <c r="C1" s="6" t="inlineStr">
        <is>
          <t>Y2</t>
        </is>
      </c>
      <c r="D1" s="6" t="inlineStr">
        <is>
          <t>Y3</t>
        </is>
      </c>
      <c r="E1" s="6" t="inlineStr">
        <is>
          <t>Y4</t>
        </is>
      </c>
      <c r="F1" s="6" t="inlineStr">
        <is>
          <t>Y5</t>
        </is>
      </c>
    </row>
    <row r="3">
      <c r="A3" s="32" t="inlineStr">
        <is>
          <t>Term debt — opening balance</t>
        </is>
      </c>
      <c r="B3" s="20">
        <f>Inputs!$B$83+Inputs!$B$84</f>
        <v/>
      </c>
      <c r="C3" s="20">
        <f>B6</f>
        <v/>
      </c>
      <c r="D3" s="20">
        <f>C6</f>
        <v/>
      </c>
      <c r="E3" s="20">
        <f>D6</f>
        <v/>
      </c>
      <c r="F3" s="20">
        <f>E6</f>
        <v/>
      </c>
    </row>
    <row r="4">
      <c r="A4" s="9" t="inlineStr">
        <is>
          <t xml:space="preserve">  Annual debt service (P+I)</t>
        </is>
      </c>
      <c r="B4" s="16">
        <f>PMT(Inputs!$B$89,Inputs!$B$90,-(Inputs!$B$83+Inputs!$B$84))</f>
        <v/>
      </c>
      <c r="C4" s="16">
        <f>PMT(Inputs!$B$89,Inputs!$B$90,-(Inputs!$B$83+Inputs!$B$84))</f>
        <v/>
      </c>
      <c r="D4" s="16">
        <f>PMT(Inputs!$B$89,Inputs!$B$90,-(Inputs!$B$83+Inputs!$B$84))</f>
        <v/>
      </c>
      <c r="E4" s="16">
        <f>PMT(Inputs!$B$89,Inputs!$B$90,-(Inputs!$B$83+Inputs!$B$84))</f>
        <v/>
      </c>
      <c r="F4" s="16">
        <f>PMT(Inputs!$B$89,Inputs!$B$90,-(Inputs!$B$83+Inputs!$B$84))</f>
        <v/>
      </c>
    </row>
    <row r="5">
      <c r="A5" s="9" t="inlineStr">
        <is>
          <t xml:space="preserve">  Of which: interest</t>
        </is>
      </c>
      <c r="B5" s="16">
        <f>B3*Inputs!$B$89</f>
        <v/>
      </c>
      <c r="C5" s="16">
        <f>C3*Inputs!$B$89</f>
        <v/>
      </c>
      <c r="D5" s="16">
        <f>D3*Inputs!$B$89</f>
        <v/>
      </c>
      <c r="E5" s="16">
        <f>E3*Inputs!$B$89</f>
        <v/>
      </c>
      <c r="F5" s="16">
        <f>F3*Inputs!$B$89</f>
        <v/>
      </c>
    </row>
    <row r="6">
      <c r="A6" s="22" t="inlineStr">
        <is>
          <t>Term debt — ending balance</t>
        </is>
      </c>
      <c r="B6" s="18">
        <f>MAX(0,B3-(B4-B5))</f>
        <v/>
      </c>
      <c r="C6" s="18">
        <f>MAX(0,C3-(C4-C5))</f>
        <v/>
      </c>
      <c r="D6" s="18">
        <f>MAX(0,D3-(D4-D5))</f>
        <v/>
      </c>
      <c r="E6" s="18">
        <f>MAX(0,E3-(E4-E5))</f>
        <v/>
      </c>
      <c r="F6" s="18">
        <f>MAX(0,F3-(F4-F5))</f>
        <v/>
      </c>
    </row>
    <row r="8" ht="22" customHeight="1">
      <c r="A8" s="7" t="inlineStr">
        <is>
          <t>Coverage ratios</t>
        </is>
      </c>
      <c r="B8" s="8" t="n"/>
      <c r="C8" s="8" t="n"/>
      <c r="D8" s="8" t="n"/>
      <c r="E8" s="8" t="n"/>
      <c r="F8" s="8" t="n"/>
    </row>
    <row r="9">
      <c r="A9" s="9" t="inlineStr">
        <is>
          <t>EBITDA (base case)</t>
        </is>
      </c>
      <c r="B9" s="26">
        <f>'P&amp;L Annual'!B21</f>
        <v/>
      </c>
      <c r="C9" s="26">
        <f>'P&amp;L Annual'!C21</f>
        <v/>
      </c>
      <c r="D9" s="26">
        <f>'P&amp;L Annual'!D21</f>
        <v/>
      </c>
      <c r="E9" s="26">
        <f>'P&amp;L Annual'!E21</f>
        <v/>
      </c>
      <c r="F9" s="26">
        <f>'P&amp;L Annual'!F21</f>
        <v/>
      </c>
    </row>
    <row r="10">
      <c r="A10" s="9" t="inlineStr">
        <is>
          <t>Total debt service</t>
        </is>
      </c>
      <c r="B10" s="16">
        <f>B4+Inputs!$B$91*Inputs!$B$88</f>
        <v/>
      </c>
      <c r="C10" s="16">
        <f>C4+Inputs!$B$91*Inputs!$B$88</f>
        <v/>
      </c>
      <c r="D10" s="16">
        <f>D4+Inputs!$B$91*Inputs!$B$88</f>
        <v/>
      </c>
      <c r="E10" s="16">
        <f>E4+Inputs!$B$91*Inputs!$B$88</f>
        <v/>
      </c>
      <c r="F10" s="16">
        <f>F4+Inputs!$B$91*Inputs!$B$88</f>
        <v/>
      </c>
    </row>
    <row r="11">
      <c r="A11" s="22" t="inlineStr">
        <is>
          <t>DSCR — base case</t>
        </is>
      </c>
      <c r="B11" s="31">
        <f>IFERROR(B9/B10,0)</f>
        <v/>
      </c>
      <c r="C11" s="31">
        <f>IFERROR(C9/C10,0)</f>
        <v/>
      </c>
      <c r="D11" s="31">
        <f>IFERROR(D9/D10,0)</f>
        <v/>
      </c>
      <c r="E11" s="31">
        <f>IFERROR(E9/E10,0)</f>
        <v/>
      </c>
      <c r="F11" s="31">
        <f>IFERROR(F9/F10,0)</f>
        <v/>
      </c>
    </row>
    <row r="12">
      <c r="A12" s="9" t="inlineStr">
        <is>
          <t>DSCR — downside case</t>
        </is>
      </c>
      <c r="B12" s="36">
        <f>IFERROR('P&amp;L Annual'!G21/B10,0)</f>
        <v/>
      </c>
      <c r="C12" s="36">
        <f>IFERROR('P&amp;L Annual'!H21/C10,0)</f>
        <v/>
      </c>
      <c r="D12" s="36">
        <f>IFERROR('P&amp;L Annual'!I21/D10,0)</f>
        <v/>
      </c>
      <c r="E12" s="36">
        <f>IFERROR('P&amp;L Annual'!J21/E10,0)</f>
        <v/>
      </c>
      <c r="F12" s="36">
        <f>IFERROR('P&amp;L Annual'!K21/F10,0)</f>
        <v/>
      </c>
    </row>
    <row r="13">
      <c r="A13" s="9" t="inlineStr">
        <is>
          <t>DSCR — stress case</t>
        </is>
      </c>
      <c r="B13" s="36">
        <f>IFERROR('P&amp;L Annual'!L21/B10,0)</f>
        <v/>
      </c>
      <c r="C13" s="36">
        <f>IFERROR('P&amp;L Annual'!M21/C10,0)</f>
        <v/>
      </c>
      <c r="D13" s="36">
        <f>IFERROR('P&amp;L Annual'!N21/D10,0)</f>
        <v/>
      </c>
      <c r="E13" s="36">
        <f>IFERROR('P&amp;L Annual'!O21/E10,0)</f>
        <v/>
      </c>
      <c r="F13" s="36">
        <f>IFERROR('P&amp;L Annual'!P21/F10,0)</f>
        <v/>
      </c>
    </row>
    <row r="15">
      <c r="A15" s="9" t="inlineStr">
        <is>
          <t>DSCR target (CDFI standard)</t>
        </is>
      </c>
      <c r="B15" s="37" t="inlineStr">
        <is>
          <t>≥ 1.20x stabilized; 1.0x acceptable Y1 if reserves cover</t>
        </is>
      </c>
    </row>
  </sheetData>
  <mergeCells count="1">
    <mergeCell ref="B15:F1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88888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6" t="inlineStr">
        <is>
          <t>Year 2 EBITDA Sensitivity</t>
        </is>
      </c>
      <c r="B1" s="6" t="inlineStr">
        <is>
          <t>-20%</t>
        </is>
      </c>
      <c r="C1" s="6" t="inlineStr">
        <is>
          <t>-10%</t>
        </is>
      </c>
      <c r="D1" s="6" t="inlineStr">
        <is>
          <t>Base</t>
        </is>
      </c>
      <c r="E1" s="6" t="inlineStr">
        <is>
          <t>+10%</t>
        </is>
      </c>
      <c r="F1" s="6" t="inlineStr">
        <is>
          <t>+20%</t>
        </is>
      </c>
    </row>
    <row r="3">
      <c r="A3" s="9" t="inlineStr">
        <is>
          <t>Revenue (variable)</t>
        </is>
      </c>
      <c r="B3" s="16">
        <f>'P&amp;L Annual'!C7*0.8*'P&amp;L Annual'!C10-'P&amp;L Annual'!C19</f>
        <v/>
      </c>
      <c r="C3" s="16">
        <f>'P&amp;L Annual'!C7*0.9*'P&amp;L Annual'!C10-'P&amp;L Annual'!C19</f>
        <v/>
      </c>
      <c r="D3" s="16">
        <f>'P&amp;L Annual'!C7*1.0*'P&amp;L Annual'!C10-'P&amp;L Annual'!C19</f>
        <v/>
      </c>
      <c r="E3" s="16">
        <f>'P&amp;L Annual'!C7*1.1*'P&amp;L Annual'!C10-'P&amp;L Annual'!C19</f>
        <v/>
      </c>
      <c r="F3" s="16">
        <f>'P&amp;L Annual'!C7*1.2*'P&amp;L Annual'!C10-'P&amp;L Annual'!C19</f>
        <v/>
      </c>
    </row>
    <row r="4">
      <c r="A4" s="9" t="inlineStr">
        <is>
          <t>Gross margin (variable, ±3 pts)</t>
        </is>
      </c>
      <c r="B4" s="16">
        <f>'P&amp;L Annual'!C7*('P&amp;L Annual'!C10+-0.03)-'P&amp;L Annual'!C19</f>
        <v/>
      </c>
      <c r="C4" s="16">
        <f>'P&amp;L Annual'!C7*('P&amp;L Annual'!C10+-0.015)-'P&amp;L Annual'!C19</f>
        <v/>
      </c>
      <c r="D4" s="16">
        <f>'P&amp;L Annual'!C7*('P&amp;L Annual'!C10+0)-'P&amp;L Annual'!C19</f>
        <v/>
      </c>
      <c r="E4" s="16">
        <f>'P&amp;L Annual'!C7*('P&amp;L Annual'!C10+0.015)-'P&amp;L Annual'!C19</f>
        <v/>
      </c>
      <c r="F4" s="16">
        <f>'P&amp;L Annual'!C7*('P&amp;L Annual'!C10+0.03)-'P&amp;L Annual'!C19</f>
        <v/>
      </c>
    </row>
    <row r="5">
      <c r="A5" s="9" t="inlineStr">
        <is>
          <t>Labor as % of revenue (variable, ±2 pts)</t>
        </is>
      </c>
      <c r="B5" s="16">
        <f>'P&amp;L Annual'!C7*'P&amp;L Annual'!C10-'P&amp;L Annual'!C19-'P&amp;L Annual'!C7*0.02</f>
        <v/>
      </c>
      <c r="C5" s="16">
        <f>'P&amp;L Annual'!C7*'P&amp;L Annual'!C10-'P&amp;L Annual'!C19-'P&amp;L Annual'!C7*0.01</f>
        <v/>
      </c>
      <c r="D5" s="16">
        <f>'P&amp;L Annual'!C7*'P&amp;L Annual'!C10-'P&amp;L Annual'!C19-'P&amp;L Annual'!C7*0</f>
        <v/>
      </c>
      <c r="E5" s="16">
        <f>'P&amp;L Annual'!C7*'P&amp;L Annual'!C10-'P&amp;L Annual'!C19-'P&amp;L Annual'!C7*-0.01</f>
        <v/>
      </c>
      <c r="F5" s="16">
        <f>'P&amp;L Annual'!C7*'P&amp;L Annual'!C10-'P&amp;L Annual'!C19-'P&amp;L Annual'!C7*-0.02</f>
        <v/>
      </c>
    </row>
    <row r="7" ht="22" customHeight="1">
      <c r="A7" s="7" t="inlineStr">
        <is>
          <t>Two-way sensitivity: Revenue x Gross Margin</t>
        </is>
      </c>
      <c r="B7" s="8" t="n"/>
      <c r="C7" s="8" t="n"/>
      <c r="D7" s="8" t="n"/>
      <c r="E7" s="8" t="n"/>
      <c r="F7" s="8" t="n"/>
    </row>
    <row r="8" ht="30" customHeight="1">
      <c r="A8" s="6" t="inlineStr">
        <is>
          <t>Y2 EBITDA</t>
        </is>
      </c>
      <c r="B8" s="6" t="inlineStr">
        <is>
          <t>GM 26%</t>
        </is>
      </c>
      <c r="C8" s="6" t="inlineStr">
        <is>
          <t>GM 30%</t>
        </is>
      </c>
      <c r="D8" s="6" t="inlineStr">
        <is>
          <t>GM 34% (base)</t>
        </is>
      </c>
      <c r="E8" s="6" t="inlineStr">
        <is>
          <t>GM 38%</t>
        </is>
      </c>
      <c r="F8" s="6" t="inlineStr">
        <is>
          <t>GM 42%</t>
        </is>
      </c>
    </row>
    <row r="9">
      <c r="A9" s="9" t="inlineStr">
        <is>
          <t>Rev -20%</t>
        </is>
      </c>
      <c r="B9" s="16">
        <f>'P&amp;L Annual'!C7*0.8*0.26-'P&amp;L Annual'!C19</f>
        <v/>
      </c>
      <c r="C9" s="16">
        <f>'P&amp;L Annual'!C7*0.8*0.3-'P&amp;L Annual'!C19</f>
        <v/>
      </c>
      <c r="D9" s="16">
        <f>'P&amp;L Annual'!C7*0.8*0.34-'P&amp;L Annual'!C19</f>
        <v/>
      </c>
      <c r="E9" s="16">
        <f>'P&amp;L Annual'!C7*0.8*0.38-'P&amp;L Annual'!C19</f>
        <v/>
      </c>
      <c r="F9" s="16">
        <f>'P&amp;L Annual'!C7*0.8*0.42-'P&amp;L Annual'!C19</f>
        <v/>
      </c>
    </row>
    <row r="10">
      <c r="A10" s="9" t="inlineStr">
        <is>
          <t>Rev -10%</t>
        </is>
      </c>
      <c r="B10" s="16">
        <f>'P&amp;L Annual'!C7*0.9*0.26-'P&amp;L Annual'!C19</f>
        <v/>
      </c>
      <c r="C10" s="16">
        <f>'P&amp;L Annual'!C7*0.9*0.3-'P&amp;L Annual'!C19</f>
        <v/>
      </c>
      <c r="D10" s="16">
        <f>'P&amp;L Annual'!C7*0.9*0.34-'P&amp;L Annual'!C19</f>
        <v/>
      </c>
      <c r="E10" s="16">
        <f>'P&amp;L Annual'!C7*0.9*0.38-'P&amp;L Annual'!C19</f>
        <v/>
      </c>
      <c r="F10" s="16">
        <f>'P&amp;L Annual'!C7*0.9*0.42-'P&amp;L Annual'!C19</f>
        <v/>
      </c>
    </row>
    <row r="11">
      <c r="A11" s="9" t="inlineStr">
        <is>
          <t>Rev base</t>
        </is>
      </c>
      <c r="B11" s="16">
        <f>'P&amp;L Annual'!C7*1.0*0.26-'P&amp;L Annual'!C19</f>
        <v/>
      </c>
      <c r="C11" s="16">
        <f>'P&amp;L Annual'!C7*1.0*0.3-'P&amp;L Annual'!C19</f>
        <v/>
      </c>
      <c r="D11" s="16">
        <f>'P&amp;L Annual'!C7*1.0*0.34-'P&amp;L Annual'!C19</f>
        <v/>
      </c>
      <c r="E11" s="16">
        <f>'P&amp;L Annual'!C7*1.0*0.38-'P&amp;L Annual'!C19</f>
        <v/>
      </c>
      <c r="F11" s="16">
        <f>'P&amp;L Annual'!C7*1.0*0.42-'P&amp;L Annual'!C19</f>
        <v/>
      </c>
    </row>
    <row r="12">
      <c r="A12" s="9" t="inlineStr">
        <is>
          <t>Rev +10%</t>
        </is>
      </c>
      <c r="B12" s="16">
        <f>'P&amp;L Annual'!C7*1.1*0.26-'P&amp;L Annual'!C19</f>
        <v/>
      </c>
      <c r="C12" s="16">
        <f>'P&amp;L Annual'!C7*1.1*0.3-'P&amp;L Annual'!C19</f>
        <v/>
      </c>
      <c r="D12" s="16">
        <f>'P&amp;L Annual'!C7*1.1*0.34-'P&amp;L Annual'!C19</f>
        <v/>
      </c>
      <c r="E12" s="16">
        <f>'P&amp;L Annual'!C7*1.1*0.38-'P&amp;L Annual'!C19</f>
        <v/>
      </c>
      <c r="F12" s="16">
        <f>'P&amp;L Annual'!C7*1.1*0.42-'P&amp;L Annual'!C19</f>
        <v/>
      </c>
    </row>
    <row r="13">
      <c r="A13" s="9" t="inlineStr">
        <is>
          <t>Rev +20%</t>
        </is>
      </c>
      <c r="B13" s="16">
        <f>'P&amp;L Annual'!C7*1.2*0.26-'P&amp;L Annual'!C19</f>
        <v/>
      </c>
      <c r="C13" s="16">
        <f>'P&amp;L Annual'!C7*1.2*0.3-'P&amp;L Annual'!C19</f>
        <v/>
      </c>
      <c r="D13" s="16">
        <f>'P&amp;L Annual'!C7*1.2*0.34-'P&amp;L Annual'!C19</f>
        <v/>
      </c>
      <c r="E13" s="16">
        <f>'P&amp;L Annual'!C7*1.2*0.38-'P&amp;L Annual'!C19</f>
        <v/>
      </c>
      <c r="F13" s="16">
        <f>'P&amp;L Annual'!C7*1.2*0.42-'P&amp;L Annual'!C19</f>
        <v/>
      </c>
    </row>
  </sheetData>
  <conditionalFormatting sqref="B9:F13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88888"/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22" customWidth="1" min="3" max="3"/>
    <col width="60" customWidth="1" min="4" max="4"/>
  </cols>
  <sheetData>
    <row r="1" ht="30" customHeight="1">
      <c r="A1" s="6" t="inlineStr">
        <is>
          <t>Tranche 2 release gate</t>
        </is>
      </c>
      <c r="B1" s="6" t="inlineStr">
        <is>
          <t>Threshold (end of M3)</t>
        </is>
      </c>
      <c r="C1" s="6" t="inlineStr">
        <is>
          <t>Verification method</t>
        </is>
      </c>
      <c r="D1" s="6" t="inlineStr">
        <is>
          <t>Why Steans cares</t>
        </is>
      </c>
    </row>
    <row r="2" ht="35" customHeight="1">
      <c r="A2" s="9" t="inlineStr">
        <is>
          <t>Active produce-box subscribers</t>
        </is>
      </c>
      <c r="B2" s="38" t="inlineStr">
        <is>
          <t>100+ weekly subs</t>
        </is>
      </c>
      <c r="C2" s="38" t="inlineStr">
        <is>
          <t>Subscription management system export</t>
        </is>
      </c>
      <c r="D2" s="38" t="inlineStr">
        <is>
          <t>Demand validation, repeatable revenue, not survey-based intent</t>
        </is>
      </c>
    </row>
    <row r="3" ht="35" customHeight="1">
      <c r="A3" s="9" t="inlineStr">
        <is>
          <t>Monthly revenue run-rate</t>
        </is>
      </c>
      <c r="B3" s="38" t="inlineStr">
        <is>
          <t>$15K - $25K / month</t>
        </is>
      </c>
      <c r="C3" s="38" t="inlineStr">
        <is>
          <t>Stripe / payment processor</t>
        </is>
      </c>
      <c r="D3" s="38" t="inlineStr">
        <is>
          <t>Operational viability; matches CDFI underwriting Year 1 ramp benchmark</t>
        </is>
      </c>
    </row>
    <row r="4" ht="35" customHeight="1">
      <c r="A4" s="9" t="inlineStr">
        <is>
          <t>Local hires made</t>
        </is>
      </c>
      <c r="B4" s="38" t="inlineStr">
        <is>
          <t>5 - 7 NLW residents at $16+/hr</t>
        </is>
      </c>
      <c r="C4" s="38" t="inlineStr">
        <is>
          <t>Payroll records + zip code attestation</t>
        </is>
      </c>
      <c r="D4" s="38" t="inlineStr">
        <is>
          <t>Confirms workforce-development thesis; tied to grant deliverable</t>
        </is>
      </c>
    </row>
    <row r="5" ht="35" customHeight="1">
      <c r="A5" s="9" t="inlineStr">
        <is>
          <t>EBT acceptance live</t>
        </is>
      </c>
      <c r="B5" s="38" t="inlineStr">
        <is>
          <t>Live by Month 2</t>
        </is>
      </c>
      <c r="C5" s="38" t="inlineStr">
        <is>
          <t>USDA SNAP retailer authorization letter</t>
        </is>
      </c>
      <c r="D5" s="38" t="inlineStr">
        <is>
          <t>Confirms Steans-priority access mechanism; required for low-income trade area</t>
        </is>
      </c>
    </row>
    <row r="6" ht="35" customHeight="1">
      <c r="A6" s="9" t="inlineStr">
        <is>
          <t>Pembroke supply contracts</t>
        </is>
      </c>
      <c r="B6" s="38" t="inlineStr">
        <is>
          <t>Signed with 3+ farms</t>
        </is>
      </c>
      <c r="C6" s="38" t="inlineStr">
        <is>
          <t>Executed supply agreements</t>
        </is>
      </c>
      <c r="D6" s="38" t="inlineStr">
        <is>
          <t>Supply chain executable, not aspirational; differentiator from Yellow Banana</t>
        </is>
      </c>
    </row>
    <row r="7" ht="35" customHeight="1">
      <c r="A7" s="9" t="inlineStr">
        <is>
          <t>Variance to budget</t>
        </is>
      </c>
      <c r="B7" s="38" t="inlineStr">
        <is>
          <t>Within 10% of plan</t>
        </is>
      </c>
      <c r="C7" s="38" t="inlineStr">
        <is>
          <t>Monthly P&amp;L vs budget reconciliation</t>
        </is>
      </c>
      <c r="D7" s="38" t="inlineStr">
        <is>
          <t>Operator financial discipline</t>
        </is>
      </c>
    </row>
    <row r="8" ht="35" customHeight="1">
      <c r="A8" s="9" t="inlineStr">
        <is>
          <t>Vendor terms earned</t>
        </is>
      </c>
      <c r="B8" s="38" t="inlineStr">
        <is>
          <t>Net 14 from 3+ DSD vendors</t>
        </is>
      </c>
      <c r="C8" s="38" t="inlineStr">
        <is>
          <t>Vendor account statements</t>
        </is>
      </c>
      <c r="D8" s="38" t="inlineStr">
        <is>
          <t>Working capital trajectory improving; reduces reliance on LoC</t>
        </is>
      </c>
    </row>
    <row r="12" ht="22" customHeight="1">
      <c r="A12" s="7" t="inlineStr">
        <is>
          <t>Tranche 2 release decision matrix</t>
        </is>
      </c>
      <c r="B12" s="8" t="n"/>
      <c r="C12" s="8" t="n"/>
      <c r="D12" s="8" t="n"/>
    </row>
    <row r="13">
      <c r="A13" s="19" t="inlineStr">
        <is>
          <t>If 7 of 7 gates pass:</t>
        </is>
      </c>
      <c r="B13" s="38" t="inlineStr">
        <is>
          <t>Full Tranche 2 release ($500K)</t>
        </is>
      </c>
    </row>
    <row r="14">
      <c r="A14" s="19" t="inlineStr">
        <is>
          <t>If 5-6 of 7 gates pass:</t>
        </is>
      </c>
      <c r="B14" s="38" t="inlineStr">
        <is>
          <t>Conditional release with 30-day cure period for missed gates</t>
        </is>
      </c>
    </row>
    <row r="15">
      <c r="A15" s="19" t="inlineStr">
        <is>
          <t>If &lt;5 gates pass:</t>
        </is>
      </c>
      <c r="B15" s="38" t="inlineStr">
        <is>
          <t>Tranche 2 deferred; operator and funder reassess plan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88888"/>
    <outlinePr summaryBelow="1" summaryRight="1"/>
    <pageSetUpPr/>
  </sheetPr>
  <dimension ref="A1:F2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30" customHeight="1">
      <c r="A1" s="6" t="inlineStr">
        <is>
          <t>Steans Impact Metric</t>
        </is>
      </c>
      <c r="B1" s="6" t="inlineStr">
        <is>
          <t>Y1</t>
        </is>
      </c>
      <c r="C1" s="6" t="inlineStr">
        <is>
          <t>Y2</t>
        </is>
      </c>
      <c r="D1" s="6" t="inlineStr">
        <is>
          <t>Y3</t>
        </is>
      </c>
      <c r="E1" s="6" t="inlineStr">
        <is>
          <t>Y4</t>
        </is>
      </c>
      <c r="F1" s="6" t="inlineStr">
        <is>
          <t>Y5</t>
        </is>
      </c>
    </row>
    <row r="2" ht="22" customHeight="1">
      <c r="A2" s="39" t="inlineStr">
        <is>
          <t>WORKFORCE</t>
        </is>
      </c>
      <c r="B2" s="8" t="n"/>
      <c r="C2" s="8" t="n"/>
      <c r="D2" s="8" t="n"/>
      <c r="E2" s="8" t="n"/>
      <c r="F2" s="8" t="n"/>
    </row>
    <row r="3">
      <c r="A3" s="9" t="inlineStr">
        <is>
          <t xml:space="preserve">  FTE — total</t>
        </is>
      </c>
      <c r="B3" s="40">
        <f>(Inputs!$B$61*3+Inputs!$B$62*3+Inputs!$B$63*3+Inputs!$B$64*3)/12</f>
        <v/>
      </c>
      <c r="C3" s="40">
        <f>Inputs!$B$65</f>
        <v/>
      </c>
      <c r="D3" s="40">
        <f>Inputs!$B$66</f>
        <v/>
      </c>
      <c r="E3" s="40">
        <f>Inputs!$B$67</f>
        <v/>
      </c>
      <c r="F3" s="40">
        <f>Inputs!$B$68</f>
        <v/>
      </c>
    </row>
    <row r="4">
      <c r="A4" s="9" t="inlineStr">
        <is>
          <t xml:space="preserve">  % hires from NLW zip codes (target)</t>
        </is>
      </c>
      <c r="B4" s="41">
        <f>0.7</f>
        <v/>
      </c>
      <c r="C4" s="41">
        <f>0.7</f>
        <v/>
      </c>
      <c r="D4" s="41">
        <f>0.7</f>
        <v/>
      </c>
      <c r="E4" s="41">
        <f>0.7</f>
        <v/>
      </c>
      <c r="F4" s="41">
        <f>0.7</f>
        <v/>
      </c>
    </row>
    <row r="5">
      <c r="A5" s="9" t="inlineStr">
        <is>
          <t xml:space="preserve">  Hourly wage floor</t>
        </is>
      </c>
      <c r="B5" s="42">
        <f>16</f>
        <v/>
      </c>
      <c r="C5" s="42">
        <f>16</f>
        <v/>
      </c>
      <c r="D5" s="42">
        <f>16</f>
        <v/>
      </c>
      <c r="E5" s="42">
        <f>16</f>
        <v/>
      </c>
      <c r="F5" s="42">
        <f>16</f>
        <v/>
      </c>
    </row>
    <row r="6">
      <c r="A6" s="9" t="inlineStr">
        <is>
          <t xml:space="preserve">  Total annual payroll (NLW residents)</t>
        </is>
      </c>
      <c r="B6" s="16">
        <f>B3*B4*16*173*12</f>
        <v/>
      </c>
      <c r="C6" s="16">
        <f>C3*C4*16*173*12</f>
        <v/>
      </c>
      <c r="D6" s="16">
        <f>D3*D4*16*173*12</f>
        <v/>
      </c>
      <c r="E6" s="16">
        <f>E3*E4*16*173*12</f>
        <v/>
      </c>
      <c r="F6" s="16">
        <f>F3*F4*16*173*12</f>
        <v/>
      </c>
    </row>
    <row r="8" ht="22" customHeight="1">
      <c r="A8" s="7" t="inlineStr">
        <is>
          <t>FOOD ACCESS</t>
        </is>
      </c>
      <c r="B8" s="8" t="n"/>
      <c r="C8" s="8" t="n"/>
      <c r="D8" s="8" t="n"/>
      <c r="E8" s="8" t="n"/>
      <c r="F8" s="8" t="n"/>
    </row>
    <row r="9">
      <c r="A9" s="9" t="inlineStr">
        <is>
          <t xml:space="preserve">  Households served / month (subs + retail)</t>
        </is>
      </c>
      <c r="B9" s="21">
        <f>'Phase 1 Revenue'!M4+ROUND('P&amp;L Annual'!B6/12/45,0)/4</f>
        <v/>
      </c>
      <c r="C9" s="21">
        <f>Inputs!$B$54+ROUND('P&amp;L Annual'!C6/12/45,0)/4</f>
        <v/>
      </c>
      <c r="D9" s="21">
        <f>Inputs!$B$55+ROUND('P&amp;L Annual'!D6/12/45,0)/4</f>
        <v/>
      </c>
      <c r="E9" s="21">
        <f>Inputs!$B$56+ROUND('P&amp;L Annual'!E6/12/45,0)/4</f>
        <v/>
      </c>
      <c r="F9" s="21">
        <f>Inputs!$B$57+ROUND('P&amp;L Annual'!F6/12/45,0)/4</f>
        <v/>
      </c>
    </row>
    <row r="10">
      <c r="A10" s="9" t="inlineStr">
        <is>
          <t xml:space="preserve">  SNAP/EBT as % of retail sales (target)</t>
        </is>
      </c>
      <c r="C10" s="41">
        <f>0.20</f>
        <v/>
      </c>
      <c r="D10" s="41">
        <f>0.20</f>
        <v/>
      </c>
      <c r="E10" s="41">
        <f>0.20</f>
        <v/>
      </c>
      <c r="F10" s="41">
        <f>0.20</f>
        <v/>
      </c>
    </row>
    <row r="11">
      <c r="A11" s="9" t="inlineStr">
        <is>
          <t xml:space="preserve">  USDA Low Access tract: site at 17031843300</t>
        </is>
      </c>
      <c r="B11" s="38" t="inlineStr">
        <is>
          <t>LILA designated</t>
        </is>
      </c>
    </row>
    <row r="13" ht="22" customHeight="1">
      <c r="A13" s="7" t="inlineStr">
        <is>
          <t>SUPPLIER NETWORK</t>
        </is>
      </c>
      <c r="B13" s="8" t="n"/>
      <c r="C13" s="8" t="n"/>
      <c r="D13" s="8" t="n"/>
      <c r="E13" s="8" t="n"/>
      <c r="F13" s="8" t="n"/>
    </row>
    <row r="14">
      <c r="A14" s="9" t="inlineStr">
        <is>
          <t xml:space="preserve">  Pembroke direct procurement ($)</t>
        </is>
      </c>
      <c r="B14" s="16">
        <f>'P&amp;L Annual'!B11*0.18*0.3</f>
        <v/>
      </c>
      <c r="C14" s="16">
        <f>'P&amp;L Annual'!C11*0.18*0.3</f>
        <v/>
      </c>
      <c r="D14" s="16">
        <f>'P&amp;L Annual'!D11*0.18*0.3</f>
        <v/>
      </c>
      <c r="E14" s="16">
        <f>'P&amp;L Annual'!E11*0.18*0.3</f>
        <v/>
      </c>
      <c r="F14" s="16">
        <f>'P&amp;L Annual'!F11*0.18*0.3</f>
        <v/>
      </c>
    </row>
    <row r="15">
      <c r="A15" s="9" t="inlineStr">
        <is>
          <t xml:space="preserve">  Black-owned vendor procurement ($)</t>
        </is>
      </c>
      <c r="B15" s="16">
        <f>'P&amp;L Annual'!B11*0.25</f>
        <v/>
      </c>
      <c r="C15" s="16">
        <f>'P&amp;L Annual'!C11*0.25</f>
        <v/>
      </c>
      <c r="D15" s="16">
        <f>'P&amp;L Annual'!D11*0.25</f>
        <v/>
      </c>
      <c r="E15" s="16">
        <f>'P&amp;L Annual'!E11*0.25</f>
        <v/>
      </c>
      <c r="F15" s="16">
        <f>'P&amp;L Annual'!F11*0.25</f>
        <v/>
      </c>
    </row>
    <row r="17" ht="22" customHeight="1">
      <c r="A17" s="7" t="inlineStr">
        <is>
          <t>LEVERAGE</t>
        </is>
      </c>
      <c r="B17" s="8" t="n"/>
      <c r="C17" s="8" t="n"/>
      <c r="D17" s="8" t="n"/>
      <c r="E17" s="8" t="n"/>
      <c r="F17" s="8" t="n"/>
    </row>
    <row r="18">
      <c r="A18" s="9" t="inlineStr">
        <is>
          <t xml:space="preserve">  Steans capital deployed (cumulative)</t>
        </is>
      </c>
      <c r="B18" s="16">
        <f>Inputs!$B$79</f>
        <v/>
      </c>
      <c r="C18" s="16">
        <f>Inputs!$B$79+Inputs!$B$80</f>
        <v/>
      </c>
      <c r="D18" s="16">
        <f>Inputs!$B$79+Inputs!$B$80</f>
        <v/>
      </c>
      <c r="E18" s="16">
        <f>Inputs!$B$79+Inputs!$B$80</f>
        <v/>
      </c>
      <c r="F18" s="16">
        <f>Inputs!$B$79+Inputs!$B$80</f>
        <v/>
      </c>
    </row>
    <row r="19">
      <c r="A19" s="9" t="inlineStr">
        <is>
          <t xml:space="preserve">  Total capital deployed (with LoC drawn)</t>
        </is>
      </c>
      <c r="B19" s="16">
        <f>Inputs!$B$79+Inputs!$B$91</f>
        <v/>
      </c>
      <c r="C19" s="16">
        <f>Inputs!$B$79+Inputs!$B$80+Inputs!$B$92</f>
        <v/>
      </c>
      <c r="D19" s="16">
        <f>Inputs!$B$79+Inputs!$B$80+Inputs!$B$92</f>
        <v/>
      </c>
      <c r="E19" s="16">
        <f>Inputs!$B$79+Inputs!$B$80+Inputs!$B$92</f>
        <v/>
      </c>
      <c r="F19" s="16">
        <f>Inputs!$B$79+Inputs!$B$80+Inputs!$B$92</f>
        <v/>
      </c>
    </row>
    <row r="20">
      <c r="A20" s="9" t="inlineStr">
        <is>
          <t xml:space="preserve">  Cumulative revenue generated</t>
        </is>
      </c>
      <c r="B20" s="16">
        <f>'P&amp;L Annual'!B7</f>
        <v/>
      </c>
      <c r="C20" s="16">
        <f>B20+'P&amp;L Annual'!C7</f>
        <v/>
      </c>
      <c r="D20" s="16">
        <f>C20+'P&amp;L Annual'!D7</f>
        <v/>
      </c>
      <c r="E20" s="16">
        <f>D20+'P&amp;L Annual'!E7</f>
        <v/>
      </c>
      <c r="F20" s="16">
        <f>E20+'P&amp;L Annual'!F7</f>
        <v/>
      </c>
    </row>
    <row r="21">
      <c r="A21" s="22" t="inlineStr">
        <is>
          <t xml:space="preserve">  Revenue per dollar of Steans capital (cumulative)</t>
        </is>
      </c>
      <c r="B21" s="31">
        <f>B20/B18</f>
        <v/>
      </c>
      <c r="C21" s="31">
        <f>C20/C18</f>
        <v/>
      </c>
      <c r="D21" s="31">
        <f>D20/D18</f>
        <v/>
      </c>
      <c r="E21" s="31">
        <f>E20/E18</f>
        <v/>
      </c>
      <c r="F21" s="31">
        <f>F20/F18</f>
        <v/>
      </c>
    </row>
  </sheetData>
  <mergeCells count="1">
    <mergeCell ref="B11:F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2026-05-04T22:20:45Z</dcterms:created>
  <dcterms:modified xmlns:dcterms="http://purl.org/dc/terms/" xmlns:xsi="http://www.w3.org/2001/XMLSchema-instance" xsi:type="dcterms:W3CDTF">2026-05-04T22:20:45Z</dcterms:modified>
</cp:coreProperties>
</file>